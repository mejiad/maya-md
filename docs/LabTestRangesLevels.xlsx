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<sst xmlns="http://schemas.openxmlformats.org/spreadsheetml/2006/main" count="576" uniqueCount="304">
  <si>
    <t xml:space="preserve">Category</t>
  </si>
  <si>
    <t xml:space="preserve">Lab</t>
  </si>
  <si>
    <t xml:space="preserve">Unit</t>
  </si>
  <si>
    <t xml:space="preserve">Valor</t>
  </si>
  <si>
    <t xml:space="preserve">Range</t>
  </si>
  <si>
    <t xml:space="preserve">Level</t>
  </si>
  <si>
    <t xml:space="preserve">Sex</t>
  </si>
  <si>
    <t xml:space="preserve">Age</t>
  </si>
  <si>
    <t xml:space="preserve">Orange</t>
  </si>
  <si>
    <t xml:space="preserve">Red</t>
  </si>
  <si>
    <t xml:space="preserve">P. Diagnosis</t>
  </si>
  <si>
    <t xml:space="preserve">Clinical Note</t>
  </si>
  <si>
    <t xml:space="preserve">Dietary Intervention</t>
  </si>
  <si>
    <t xml:space="preserve">Habit changes / Counselling</t>
  </si>
  <si>
    <t xml:space="preserve">Prescription (Drugs) intervention</t>
  </si>
  <si>
    <t xml:space="preserve">Thyroid Function Test</t>
  </si>
  <si>
    <t xml:space="preserve">T3</t>
  </si>
  <si>
    <t xml:space="preserve">ng/ml</t>
  </si>
  <si>
    <t xml:space="preserve">&gt;</t>
  </si>
  <si>
    <t xml:space="preserve">&gt; 1.62</t>
  </si>
  <si>
    <t xml:space="preserve">high</t>
  </si>
  <si>
    <t xml:space="preserve">Hyperthyroidism</t>
  </si>
  <si>
    <t xml:space="preserve">Elevated T3</t>
  </si>
  <si>
    <t xml:space="preserve">&lt;</t>
  </si>
  <si>
    <t xml:space="preserve">&lt; 0.58</t>
  </si>
  <si>
    <t xml:space="preserve">low</t>
  </si>
  <si>
    <t xml:space="preserve">Hypothyroidism</t>
  </si>
  <si>
    <t xml:space="preserve">Low T3</t>
  </si>
  <si>
    <t xml:space="preserve">Use of Iodised salt / increase green leafy vegetables</t>
  </si>
  <si>
    <t xml:space="preserve">T4</t>
  </si>
  <si>
    <t xml:space="preserve">mcg/ml</t>
  </si>
  <si>
    <t xml:space="preserve">between</t>
  </si>
  <si>
    <t xml:space="preserve">12-15</t>
  </si>
  <si>
    <t xml:space="preserve">12 - 15</t>
  </si>
  <si>
    <t xml:space="preserve">Elevated T4</t>
  </si>
  <si>
    <t xml:space="preserve">&gt;15</t>
  </si>
  <si>
    <t xml:space="preserve">2 - 5</t>
  </si>
  <si>
    <t xml:space="preserve">Low T4</t>
  </si>
  <si>
    <t xml:space="preserve">&lt;2</t>
  </si>
  <si>
    <t xml:space="preserve">TSH</t>
  </si>
  <si>
    <t xml:space="preserve">µIU/mL</t>
  </si>
  <si>
    <t xml:space="preserve">&gt; 5.5</t>
  </si>
  <si>
    <t xml:space="preserve">High TSH</t>
  </si>
  <si>
    <t xml:space="preserve">&lt; 0.35</t>
  </si>
  <si>
    <t xml:space="preserve">Low</t>
  </si>
  <si>
    <t xml:space="preserve">Low TSH</t>
  </si>
  <si>
    <t xml:space="preserve">T3 + T4 + TSH</t>
  </si>
  <si>
    <t xml:space="preserve">TSH High</t>
  </si>
  <si>
    <t xml:space="preserve">Subclinical Hypothyroidism</t>
  </si>
  <si>
    <t xml:space="preserve">Normal T3 + T4, elevated TSH.</t>
  </si>
  <si>
    <t xml:space="preserve">TSH Low</t>
  </si>
  <si>
    <t xml:space="preserve">Subclinical Hyperthyroidism</t>
  </si>
  <si>
    <t xml:space="preserve">Normal T3 + T4, Low TSH.</t>
  </si>
  <si>
    <t xml:space="preserve">Lipid Profile</t>
  </si>
  <si>
    <t xml:space="preserve">Triglyceride</t>
  </si>
  <si>
    <t xml:space="preserve">mg/dl</t>
  </si>
  <si>
    <t xml:space="preserve">&gt;220</t>
  </si>
  <si>
    <t xml:space="preserve">Hypertriglyceridemia</t>
  </si>
  <si>
    <t xml:space="preserve">Elevated triglyceride.</t>
  </si>
  <si>
    <t xml:space="preserve">Decrease the use of Mustard oil, smoked and dried foods (dry fish, soya beans)</t>
  </si>
  <si>
    <t xml:space="preserve">Decrease or stop tobacco/alcohol, increase physical activity</t>
  </si>
  <si>
    <t xml:space="preserve">150 - 220</t>
  </si>
  <si>
    <t xml:space="preserve">&lt;90</t>
  </si>
  <si>
    <t xml:space="preserve">Hypotriglyceridemia</t>
  </si>
  <si>
    <t xml:space="preserve">Decrease triglyceride.</t>
  </si>
  <si>
    <t xml:space="preserve">Total Cholesterol</t>
  </si>
  <si>
    <t xml:space="preserve">&gt;200</t>
  </si>
  <si>
    <t xml:space="preserve">Hypercholesterolemia</t>
  </si>
  <si>
    <t xml:space="preserve">Elevated cholesterol.</t>
  </si>
  <si>
    <t xml:space="preserve">Cholesterol - Serum</t>
  </si>
  <si>
    <t xml:space="preserve">&gt; 1</t>
  </si>
  <si>
    <t xml:space="preserve">Elevated Cholesterol - Serum.</t>
  </si>
  <si>
    <t xml:space="preserve">HDL Cholesterol - Serum</t>
  </si>
  <si>
    <t xml:space="preserve">&lt;40</t>
  </si>
  <si>
    <t xml:space="preserve">Low HDL Cholesterol.</t>
  </si>
  <si>
    <t xml:space="preserve">LDL Cholesterol - Serum</t>
  </si>
  <si>
    <t xml:space="preserve">&gt;160</t>
  </si>
  <si>
    <t xml:space="preserve">Elevated LDL Cholesterol.</t>
  </si>
  <si>
    <t xml:space="preserve">LDL / HDL Cholesterol Ratio</t>
  </si>
  <si>
    <t xml:space="preserve">&gt;3.5</t>
  </si>
  <si>
    <t xml:space="preserve">High LDL / HDL Cholesterol Ratio.</t>
  </si>
  <si>
    <t xml:space="preserve">&lt;2.5</t>
  </si>
  <si>
    <t xml:space="preserve">Low LDL / HDL Cholesterol Ratio.</t>
  </si>
  <si>
    <t xml:space="preserve">VLDL</t>
  </si>
  <si>
    <t xml:space="preserve">&gt;60</t>
  </si>
  <si>
    <t xml:space="preserve">Elevated VLDL.</t>
  </si>
  <si>
    <t xml:space="preserve">Decrease or stop tobacco/alcohol, increase physical activity, cardio exercises</t>
  </si>
  <si>
    <t xml:space="preserve">Complete Blood Count</t>
  </si>
  <si>
    <t xml:space="preserve">Hemoglobin</t>
  </si>
  <si>
    <t xml:space="preserve">g/dl</t>
  </si>
  <si>
    <t xml:space="preserve">10 - 12</t>
  </si>
  <si>
    <t xml:space="preserve">mild</t>
  </si>
  <si>
    <t xml:space="preserve">m</t>
  </si>
  <si>
    <t xml:space="preserve">Mild anemia</t>
  </si>
  <si>
    <t xml:space="preserve">Hemoglobin b/w 10-14 g/dl</t>
  </si>
  <si>
    <t xml:space="preserve">Diet including iron-rich foods like spinach, oats, salmon, dates, pomegranate.</t>
  </si>
  <si>
    <t xml:space="preserve">Decrease consumption of red tea/alcohol/tobacco</t>
  </si>
  <si>
    <t xml:space="preserve">7 - 9.9</t>
  </si>
  <si>
    <t xml:space="preserve">mod</t>
  </si>
  <si>
    <t xml:space="preserve">Moderate anemia</t>
  </si>
  <si>
    <t xml:space="preserve">Hemoglobin b/w 7-10 g/dl</t>
  </si>
  <si>
    <t xml:space="preserve">&lt;7</t>
  </si>
  <si>
    <t xml:space="preserve">sev</t>
  </si>
  <si>
    <t xml:space="preserve">Severe anemia</t>
  </si>
  <si>
    <t xml:space="preserve">Hemoglobin &gt;7 g/dl</t>
  </si>
  <si>
    <t xml:space="preserve">9 - 11</t>
  </si>
  <si>
    <t xml:space="preserve">f</t>
  </si>
  <si>
    <t xml:space="preserve">Hemoglobin b/w 9=13 g/dl</t>
  </si>
  <si>
    <t xml:space="preserve">7 - 8.9</t>
  </si>
  <si>
    <t xml:space="preserve">f </t>
  </si>
  <si>
    <t xml:space="preserve">Hemoglobin b/w 6-9 g/dl</t>
  </si>
  <si>
    <t xml:space="preserve">Hemoglobin &gt;6 g/dl</t>
  </si>
  <si>
    <t xml:space="preserve">Total RBC</t>
  </si>
  <si>
    <t xml:space="preserve">x10^6</t>
  </si>
  <si>
    <t xml:space="preserve">&lt;3.5</t>
  </si>
  <si>
    <t xml:space="preserve">18+</t>
  </si>
  <si>
    <t xml:space="preserve">Low Total RBC.</t>
  </si>
  <si>
    <t xml:space="preserve">&lt;3</t>
  </si>
  <si>
    <t xml:space="preserve">Total WBC</t>
  </si>
  <si>
    <t xml:space="preserve">x10^3</t>
  </si>
  <si>
    <t xml:space="preserve">&gt;11</t>
  </si>
  <si>
    <t xml:space="preserve">Leucocytosis</t>
  </si>
  <si>
    <t xml:space="preserve">Elevated Total WBC.</t>
  </si>
  <si>
    <t xml:space="preserve">&lt;4</t>
  </si>
  <si>
    <t xml:space="preserve">Leucocytemia</t>
  </si>
  <si>
    <t xml:space="preserve">Low Total WBC. </t>
  </si>
  <si>
    <t xml:space="preserve">Eosinophils</t>
  </si>
  <si>
    <t xml:space="preserve">%</t>
  </si>
  <si>
    <t xml:space="preserve">&gt;6%</t>
  </si>
  <si>
    <t xml:space="preserve">Eosinophilia</t>
  </si>
  <si>
    <t xml:space="preserve">Eosinophils elevated.</t>
  </si>
  <si>
    <t xml:space="preserve">Neutrophils</t>
  </si>
  <si>
    <t xml:space="preserve">&gt;75%</t>
  </si>
  <si>
    <t xml:space="preserve">Neutrophilia</t>
  </si>
  <si>
    <t xml:space="preserve">Elevated Neutrophils.</t>
  </si>
  <si>
    <t xml:space="preserve">&lt; 45 %</t>
  </si>
  <si>
    <t xml:space="preserve">Neutropenia</t>
  </si>
  <si>
    <t xml:space="preserve">Low Neutrophils.</t>
  </si>
  <si>
    <t xml:space="preserve">Lymphocytes</t>
  </si>
  <si>
    <t xml:space="preserve">&gt;45%</t>
  </si>
  <si>
    <t xml:space="preserve">Lymphocytosis</t>
  </si>
  <si>
    <t xml:space="preserve">Elevated Lymphocytes.</t>
  </si>
  <si>
    <t xml:space="preserve">&lt; 25 %</t>
  </si>
  <si>
    <t xml:space="preserve">Lymphocytopenia</t>
  </si>
  <si>
    <t xml:space="preserve">Low Lymphocytes</t>
  </si>
  <si>
    <t xml:space="preserve">Monocytes</t>
  </si>
  <si>
    <t xml:space="preserve">&gt;10</t>
  </si>
  <si>
    <t xml:space="preserve">Monocytosis</t>
  </si>
  <si>
    <t xml:space="preserve">Monocytes &gt;10%</t>
  </si>
  <si>
    <t xml:space="preserve">Basophils</t>
  </si>
  <si>
    <t xml:space="preserve">&gt; 1%</t>
  </si>
  <si>
    <t xml:space="preserve">Elevated Basophils</t>
  </si>
  <si>
    <t xml:space="preserve">MCV</t>
  </si>
  <si>
    <t xml:space="preserve">fl</t>
  </si>
  <si>
    <t xml:space="preserve">&lt;80</t>
  </si>
  <si>
    <t xml:space="preserve">Microcytic hypochromic anemia</t>
  </si>
  <si>
    <t xml:space="preserve">MCH</t>
  </si>
  <si>
    <t xml:space="preserve">pg</t>
  </si>
  <si>
    <t xml:space="preserve">&lt;27</t>
  </si>
  <si>
    <t xml:space="preserve">MCHC</t>
  </si>
  <si>
    <t xml:space="preserve">gm/dl</t>
  </si>
  <si>
    <t xml:space="preserve">&lt;30</t>
  </si>
  <si>
    <t xml:space="preserve">80 - 95</t>
  </si>
  <si>
    <t xml:space="preserve">normal</t>
  </si>
  <si>
    <t xml:space="preserve">Normocytic normochromic anemia</t>
  </si>
  <si>
    <t xml:space="preserve">&gt;=</t>
  </si>
  <si>
    <t xml:space="preserve">&gt;= 27</t>
  </si>
  <si>
    <t xml:space="preserve">30 - 36</t>
  </si>
  <si>
    <t xml:space="preserve">&gt;95</t>
  </si>
  <si>
    <t xml:space="preserve">Macrocytic anemia</t>
  </si>
  <si>
    <t xml:space="preserve">&gt;32</t>
  </si>
  <si>
    <t xml:space="preserve">Platelet Count</t>
  </si>
  <si>
    <t xml:space="preserve">x 10^3</t>
  </si>
  <si>
    <t xml:space="preserve">&gt;400</t>
  </si>
  <si>
    <t xml:space="preserve">Thrombocytosis</t>
  </si>
  <si>
    <t xml:space="preserve">Platelet count elevated.</t>
  </si>
  <si>
    <t xml:space="preserve">&lt;150</t>
  </si>
  <si>
    <t xml:space="preserve">Thrombocytemia</t>
  </si>
  <si>
    <t xml:space="preserve">Platelet count low.</t>
  </si>
  <si>
    <t xml:space="preserve">R.D.W CV</t>
  </si>
  <si>
    <t xml:space="preserve">&gt;16</t>
  </si>
  <si>
    <t xml:space="preserve">Elevated R.D.W. CV.</t>
  </si>
  <si>
    <t xml:space="preserve">&lt;11</t>
  </si>
  <si>
    <t xml:space="preserve">Low R.D.W. CV.</t>
  </si>
  <si>
    <t xml:space="preserve">P.C.V.</t>
  </si>
  <si>
    <t xml:space="preserve">&gt;54</t>
  </si>
  <si>
    <t xml:space="preserve">Elevated P.C.V.</t>
  </si>
  <si>
    <t xml:space="preserve">&lt;36</t>
  </si>
  <si>
    <t xml:space="preserve">Low P.C.V.</t>
  </si>
  <si>
    <t xml:space="preserve">Blood Sugar</t>
  </si>
  <si>
    <t xml:space="preserve">HbA1C</t>
  </si>
  <si>
    <t xml:space="preserve">5.7 - 6.4</t>
  </si>
  <si>
    <t xml:space="preserve">Prediabetes</t>
  </si>
  <si>
    <t xml:space="preserve">HbA1C b/w 5.7-6.4</t>
  </si>
  <si>
    <t xml:space="preserve">Dietary reduction of carbohydrates rich diet</t>
  </si>
  <si>
    <t xml:space="preserve">Repeat test after 3 months, increase physical activity, avoid tobacco, alcohol</t>
  </si>
  <si>
    <t xml:space="preserve">&gt;6.4</t>
  </si>
  <si>
    <t xml:space="preserve">Diabetes</t>
  </si>
  <si>
    <t xml:space="preserve">RBS</t>
  </si>
  <si>
    <t xml:space="preserve">&gt;140</t>
  </si>
  <si>
    <t xml:space="preserve">Hyperglycemia</t>
  </si>
  <si>
    <t xml:space="preserve">RBS elevated.</t>
  </si>
  <si>
    <t xml:space="preserve">To review with Fasting &amp; Post prandial Blood Glucose or Repeat test after 3 months, increase physical activity, avoid tobacco, alcohol</t>
  </si>
  <si>
    <t xml:space="preserve">&lt;60</t>
  </si>
  <si>
    <t xml:space="preserve">Hypoglycemia</t>
  </si>
  <si>
    <t xml:space="preserve">RBS low.</t>
  </si>
  <si>
    <t xml:space="preserve">Increase diet frequency, improving balance diet</t>
  </si>
  <si>
    <t xml:space="preserve">Liver Function</t>
  </si>
  <si>
    <t xml:space="preserve">T. Protein Serum</t>
  </si>
  <si>
    <t xml:space="preserve">&gt;8.3</t>
  </si>
  <si>
    <t xml:space="preserve">Hyperproteinemia</t>
  </si>
  <si>
    <t xml:space="preserve">Elevated T. Protein Serum.</t>
  </si>
  <si>
    <t xml:space="preserve">&lt;6</t>
  </si>
  <si>
    <t xml:space="preserve">Hypoproteinemia</t>
  </si>
  <si>
    <t xml:space="preserve">Low T. Protein Serum.</t>
  </si>
  <si>
    <t xml:space="preserve">Total Bilirubin</t>
  </si>
  <si>
    <t xml:space="preserve">&gt; 1 </t>
  </si>
  <si>
    <t xml:space="preserve">Jaundice</t>
  </si>
  <si>
    <t xml:space="preserve">Elevated total bilirubin</t>
  </si>
  <si>
    <t xml:space="preserve">Direct Bilirubin</t>
  </si>
  <si>
    <t xml:space="preserve">&gt; 0.4</t>
  </si>
  <si>
    <t xml:space="preserve">Elevated direct bilirubin</t>
  </si>
  <si>
    <t xml:space="preserve">Indirect Bilirubin</t>
  </si>
  <si>
    <t xml:space="preserve">Elevated Indirect Bilirubin - Serum</t>
  </si>
  <si>
    <t xml:space="preserve">Albumin - Serum</t>
  </si>
  <si>
    <t xml:space="preserve">&lt; 3.5</t>
  </si>
  <si>
    <t xml:space="preserve">Hypoalbuminemia</t>
  </si>
  <si>
    <t xml:space="preserve">Low Albumin</t>
  </si>
  <si>
    <t xml:space="preserve">Alkaline Phosphatase</t>
  </si>
  <si>
    <t xml:space="preserve">U/L</t>
  </si>
  <si>
    <t xml:space="preserve">&gt;125</t>
  </si>
  <si>
    <t xml:space="preserve">Fatty Liver</t>
  </si>
  <si>
    <t xml:space="preserve">Elevated Alkaline Phosphatase.</t>
  </si>
  <si>
    <t xml:space="preserve">Alanine Transaminase (SGPT/ALT)</t>
  </si>
  <si>
    <t xml:space="preserve">IU/L</t>
  </si>
  <si>
    <t xml:space="preserve">&gt; 49</t>
  </si>
  <si>
    <t xml:space="preserve">Elevated Alanine Transaminase (SGPT/ALT).</t>
  </si>
  <si>
    <t xml:space="preserve">Aspartate Transaminase (SGOT/AST)</t>
  </si>
  <si>
    <t xml:space="preserve">&gt;46</t>
  </si>
  <si>
    <t xml:space="preserve">SGOT / SGPT Ratio</t>
  </si>
  <si>
    <t xml:space="preserve">&gt;1</t>
  </si>
  <si>
    <t xml:space="preserve">High SGOT / SGPT Ratio.</t>
  </si>
  <si>
    <t xml:space="preserve">Globulin</t>
  </si>
  <si>
    <t xml:space="preserve">g/dl </t>
  </si>
  <si>
    <t xml:space="preserve">Elevated Globulin.</t>
  </si>
  <si>
    <t xml:space="preserve">Low Globulin.</t>
  </si>
  <si>
    <t xml:space="preserve">Kidney Function</t>
  </si>
  <si>
    <t xml:space="preserve">Blood Urea</t>
  </si>
  <si>
    <t xml:space="preserve">&gt;40</t>
  </si>
  <si>
    <t xml:space="preserve">Elevated Blood Urea</t>
  </si>
  <si>
    <t xml:space="preserve">BUN</t>
  </si>
  <si>
    <t xml:space="preserve">&gt;20</t>
  </si>
  <si>
    <t xml:space="preserve">Elevated BUN</t>
  </si>
  <si>
    <t xml:space="preserve">Creatinine</t>
  </si>
  <si>
    <t xml:space="preserve">&gt;1.4</t>
  </si>
  <si>
    <t xml:space="preserve">Elevated Creatinine</t>
  </si>
  <si>
    <t xml:space="preserve">Sodium</t>
  </si>
  <si>
    <t xml:space="preserve">mEq/l</t>
  </si>
  <si>
    <t xml:space="preserve">&gt;145</t>
  </si>
  <si>
    <t xml:space="preserve">Hypernatremia</t>
  </si>
  <si>
    <t xml:space="preserve">Elevated Sodium</t>
  </si>
  <si>
    <t xml:space="preserve">&lt;136</t>
  </si>
  <si>
    <t xml:space="preserve">Hyponatremia</t>
  </si>
  <si>
    <t xml:space="preserve">Low Sodium</t>
  </si>
  <si>
    <t xml:space="preserve">Potassium</t>
  </si>
  <si>
    <t xml:space="preserve">mmol/L</t>
  </si>
  <si>
    <t xml:space="preserve">&gt;5</t>
  </si>
  <si>
    <t xml:space="preserve">Hyperkalemia</t>
  </si>
  <si>
    <t xml:space="preserve">Elevated Potassium</t>
  </si>
  <si>
    <t xml:space="preserve">Hypokalemia</t>
  </si>
  <si>
    <t xml:space="preserve">Low Potassium</t>
  </si>
  <si>
    <t xml:space="preserve">Uric Acid</t>
  </si>
  <si>
    <t xml:space="preserve">Uric Acid Serum</t>
  </si>
  <si>
    <t xml:space="preserve">&gt;7</t>
  </si>
  <si>
    <t xml:space="preserve">Elevated Serum Uric Acid</t>
  </si>
  <si>
    <t xml:space="preserve">Low Serum Uric Acid</t>
  </si>
  <si>
    <t xml:space="preserve">&gt;6</t>
  </si>
  <si>
    <t xml:space="preserve">Vitamin D</t>
  </si>
  <si>
    <t xml:space="preserve">Vit D</t>
  </si>
  <si>
    <t xml:space="preserve">Vitamin D Deficiency</t>
  </si>
  <si>
    <t xml:space="preserve">Increase Calcium rich food like Colocasia</t>
  </si>
  <si>
    <t xml:space="preserve">Sun exposure during peak timing</t>
  </si>
  <si>
    <t xml:space="preserve">Vitamin A</t>
  </si>
  <si>
    <t xml:space="preserve">&lt; 0.3</t>
  </si>
  <si>
    <t xml:space="preserve">Vitamin A Deficiency</t>
  </si>
  <si>
    <t xml:space="preserve">Vitamin B-12</t>
  </si>
  <si>
    <t xml:space="preserve">Vitamin B12</t>
  </si>
  <si>
    <t xml:space="preserve">pg/ml</t>
  </si>
  <si>
    <t xml:space="preserve">&lt; 50</t>
  </si>
  <si>
    <t xml:space="preserve">Vitamin B-12 Deficiency</t>
  </si>
  <si>
    <t xml:space="preserve">Increase green veg intake</t>
  </si>
  <si>
    <t xml:space="preserve">PSA</t>
  </si>
  <si>
    <t xml:space="preserve">&gt;4</t>
  </si>
  <si>
    <t xml:space="preserve">Elevated PSA</t>
  </si>
  <si>
    <t xml:space="preserve">Smoking ceasation</t>
  </si>
  <si>
    <t xml:space="preserve">Folic Acid</t>
  </si>
  <si>
    <t xml:space="preserve">ng/mL</t>
  </si>
  <si>
    <t xml:space="preserve">&lt; 0.8</t>
  </si>
  <si>
    <t xml:space="preserve">Folic Acid Deficiency</t>
  </si>
  <si>
    <t xml:space="preserve">A/G Ratio</t>
  </si>
  <si>
    <t xml:space="preserve">&gt;1.8</t>
  </si>
  <si>
    <t xml:space="preserve">High A/G Ratio.</t>
  </si>
  <si>
    <t xml:space="preserve">&lt;1</t>
  </si>
  <si>
    <t xml:space="preserve">LowA/G Ratio.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</si>
</sst>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hh:mm:ss"/>
    <numFmt numFmtId="167" formatCode="mm:ss.00"/>
    <numFmt numFmtId="168" formatCode="0.00%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3ECFD"/>
        <bgColor rgb="FFEBE8F4"/>
      </patternFill>
    </fill>
    <fill>
      <patternFill patternType="solid">
        <fgColor rgb="FFEBE8F4"/>
        <bgColor rgb="FFE3ECFD"/>
      </patternFill>
    </fill>
    <fill>
      <patternFill patternType="solid">
        <fgColor rgb="FFEEF7EB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EEF7E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7EB"/>
      <rgbColor rgb="FFE3ECFD"/>
      <rgbColor rgb="FF660066"/>
      <rgbColor rgb="FFFF8080"/>
      <rgbColor rgb="FF0066CC"/>
      <rgbColor rgb="FFEBE8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10" activeCellId="0" sqref="D10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2.92"/>
    <col collapsed="false" customWidth="true" hidden="false" outlineLevel="0" max="2" min="2" style="0" width="23.5"/>
    <col collapsed="false" customWidth="true" hidden="false" outlineLevel="0" max="3" min="3" style="0" width="7.49"/>
    <col collapsed="false" customWidth="true" hidden="false" outlineLevel="0" max="4" min="4" style="0" width="9.13"/>
    <col collapsed="false" customWidth="true" hidden="false" outlineLevel="0" max="5" min="5" style="0" width="12.5"/>
    <col collapsed="false" customWidth="true" hidden="false" outlineLevel="0" max="6" min="6" style="0" width="11.94"/>
    <col collapsed="false" customWidth="true" hidden="false" outlineLevel="0" max="7" min="7" style="0" width="11.81"/>
    <col collapsed="false" customWidth="true" hidden="false" outlineLevel="0" max="8" min="8" style="0" width="6.38"/>
    <col collapsed="false" customWidth="true" hidden="false" outlineLevel="0" max="9" min="9" style="0" width="6.75"/>
    <col collapsed="false" customWidth="true" hidden="false" outlineLevel="0" max="10" min="10" style="0" width="7.87"/>
    <col collapsed="false" customWidth="true" hidden="false" outlineLevel="0" max="11" min="11" style="0" width="8"/>
    <col collapsed="false" customWidth="true" hidden="false" outlineLevel="0" max="12" min="12" style="0" width="26.51"/>
    <col collapsed="false" customWidth="true" hidden="false" outlineLevel="0" max="13" min="13" style="0" width="24.49"/>
    <col collapsed="false" customWidth="true" hidden="false" outlineLevel="0" max="14" min="14" style="0" width="59.87"/>
    <col collapsed="false" customWidth="true" hidden="false" outlineLevel="0" max="15" min="15" style="0" width="30.37"/>
    <col collapsed="false" customWidth="true" hidden="false" outlineLevel="0" max="16" min="16" style="0" width="23.0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customFormat="false" ht="31.5" hidden="false" customHeight="true" outlineLevel="0" collapsed="false">
      <c r="A2" s="2" t="s">
        <v>15</v>
      </c>
      <c r="B2" s="3" t="s">
        <v>16</v>
      </c>
      <c r="C2" s="4" t="s">
        <v>17</v>
      </c>
      <c r="D2" s="4" t="s">
        <v>18</v>
      </c>
      <c r="E2" s="4" t="n">
        <v>1.62</v>
      </c>
      <c r="F2" s="4" t="s">
        <v>19</v>
      </c>
      <c r="G2" s="4" t="s">
        <v>20</v>
      </c>
      <c r="H2" s="4"/>
      <c r="I2" s="4"/>
      <c r="J2" s="4" t="n">
        <f aca="false">TRUE()</f>
        <v>1</v>
      </c>
      <c r="K2" s="5" t="n">
        <f aca="false">FALSE()</f>
        <v>0</v>
      </c>
      <c r="L2" s="4" t="s">
        <v>21</v>
      </c>
      <c r="M2" s="4" t="s">
        <v>22</v>
      </c>
      <c r="N2" s="4"/>
    </row>
    <row r="3" customFormat="false" ht="31.5" hidden="false" customHeight="true" outlineLevel="0" collapsed="false">
      <c r="A3" s="6"/>
      <c r="B3" s="7"/>
      <c r="C3" s="4"/>
      <c r="D3" s="4" t="s">
        <v>23</v>
      </c>
      <c r="E3" s="4" t="n">
        <v>0.58</v>
      </c>
      <c r="F3" s="4" t="s">
        <v>24</v>
      </c>
      <c r="G3" s="4" t="s">
        <v>25</v>
      </c>
      <c r="H3" s="4"/>
      <c r="I3" s="4"/>
      <c r="J3" s="4" t="n">
        <f aca="false">TRUE()</f>
        <v>1</v>
      </c>
      <c r="K3" s="5" t="n">
        <f aca="false">FALSE()</f>
        <v>0</v>
      </c>
      <c r="L3" s="4" t="s">
        <v>26</v>
      </c>
      <c r="M3" s="4" t="s">
        <v>27</v>
      </c>
      <c r="N3" s="4" t="s">
        <v>28</v>
      </c>
    </row>
    <row r="4" customFormat="false" ht="31.5" hidden="false" customHeight="true" outlineLevel="0" collapsed="false">
      <c r="A4" s="6"/>
      <c r="B4" s="7" t="s">
        <v>29</v>
      </c>
      <c r="C4" s="4" t="s">
        <v>30</v>
      </c>
      <c r="D4" s="4" t="s">
        <v>31</v>
      </c>
      <c r="E4" s="8" t="s">
        <v>32</v>
      </c>
      <c r="F4" s="4" t="s">
        <v>33</v>
      </c>
      <c r="G4" s="4" t="s">
        <v>20</v>
      </c>
      <c r="J4" s="4" t="n">
        <f aca="false">TRUE()</f>
        <v>1</v>
      </c>
      <c r="K4" s="5" t="n">
        <f aca="false">FALSE()</f>
        <v>0</v>
      </c>
      <c r="L4" s="4"/>
      <c r="M4" s="4" t="s">
        <v>34</v>
      </c>
    </row>
    <row r="5" customFormat="false" ht="31.5" hidden="false" customHeight="true" outlineLevel="0" collapsed="false">
      <c r="A5" s="6"/>
      <c r="B5" s="7"/>
      <c r="D5" s="0" t="s">
        <v>18</v>
      </c>
      <c r="E5" s="4" t="n">
        <v>15</v>
      </c>
      <c r="F5" s="4" t="s">
        <v>35</v>
      </c>
      <c r="G5" s="4" t="s">
        <v>20</v>
      </c>
      <c r="J5" s="4" t="n">
        <f aca="false">TRUE()</f>
        <v>1</v>
      </c>
      <c r="K5" s="5" t="n">
        <f aca="false">FALSE()</f>
        <v>0</v>
      </c>
      <c r="L5" s="4" t="s">
        <v>21</v>
      </c>
      <c r="M5" s="4" t="s">
        <v>34</v>
      </c>
    </row>
    <row r="6" customFormat="false" ht="31.5" hidden="false" customHeight="true" outlineLevel="0" collapsed="false">
      <c r="A6" s="6"/>
      <c r="B6" s="7"/>
      <c r="D6" s="0" t="s">
        <v>31</v>
      </c>
      <c r="E6" s="8" t="s">
        <v>36</v>
      </c>
      <c r="F6" s="4" t="s">
        <v>36</v>
      </c>
      <c r="G6" s="4" t="s">
        <v>25</v>
      </c>
      <c r="J6" s="4" t="n">
        <f aca="false">TRUE()</f>
        <v>1</v>
      </c>
      <c r="K6" s="5" t="n">
        <f aca="false">FALSE()</f>
        <v>0</v>
      </c>
      <c r="L6" s="4"/>
      <c r="M6" s="4" t="s">
        <v>37</v>
      </c>
      <c r="N6" s="4"/>
    </row>
    <row r="7" customFormat="false" ht="31.5" hidden="false" customHeight="true" outlineLevel="0" collapsed="false">
      <c r="A7" s="6"/>
      <c r="B7" s="7"/>
      <c r="D7" s="0" t="s">
        <v>23</v>
      </c>
      <c r="E7" s="4" t="n">
        <v>2</v>
      </c>
      <c r="F7" s="4" t="s">
        <v>38</v>
      </c>
      <c r="G7" s="4" t="s">
        <v>25</v>
      </c>
      <c r="J7" s="4" t="n">
        <f aca="false">TRUE()</f>
        <v>1</v>
      </c>
      <c r="K7" s="5" t="n">
        <f aca="false">FALSE()</f>
        <v>0</v>
      </c>
      <c r="L7" s="4" t="s">
        <v>26</v>
      </c>
      <c r="M7" s="4" t="s">
        <v>37</v>
      </c>
      <c r="N7" s="4" t="s">
        <v>28</v>
      </c>
    </row>
    <row r="8" customFormat="false" ht="31.5" hidden="false" customHeight="true" outlineLevel="0" collapsed="false">
      <c r="A8" s="6"/>
      <c r="B8" s="7" t="s">
        <v>39</v>
      </c>
      <c r="C8" s="4" t="s">
        <v>40</v>
      </c>
      <c r="D8" s="4" t="s">
        <v>18</v>
      </c>
      <c r="E8" s="4" t="n">
        <v>5.5</v>
      </c>
      <c r="F8" s="4" t="s">
        <v>41</v>
      </c>
      <c r="G8" s="4" t="s">
        <v>20</v>
      </c>
      <c r="J8" s="4" t="n">
        <f aca="false">TRUE()</f>
        <v>1</v>
      </c>
      <c r="K8" s="5" t="n">
        <f aca="false">FALSE()</f>
        <v>0</v>
      </c>
      <c r="L8" s="4" t="s">
        <v>26</v>
      </c>
      <c r="M8" s="4" t="s">
        <v>42</v>
      </c>
      <c r="N8" s="4"/>
    </row>
    <row r="9" customFormat="false" ht="31.5" hidden="false" customHeight="true" outlineLevel="0" collapsed="false">
      <c r="A9" s="6"/>
      <c r="B9" s="7"/>
      <c r="D9" s="0" t="s">
        <v>23</v>
      </c>
      <c r="E9" s="4" t="n">
        <v>0.35</v>
      </c>
      <c r="F9" s="4" t="s">
        <v>43</v>
      </c>
      <c r="G9" s="4" t="s">
        <v>44</v>
      </c>
      <c r="J9" s="4" t="n">
        <f aca="false">TRUE()</f>
        <v>1</v>
      </c>
      <c r="K9" s="5" t="n">
        <f aca="false">FALSE()</f>
        <v>0</v>
      </c>
      <c r="L9" s="4" t="s">
        <v>21</v>
      </c>
      <c r="M9" s="4" t="s">
        <v>45</v>
      </c>
      <c r="N9" s="4" t="s">
        <v>28</v>
      </c>
    </row>
    <row r="10" customFormat="false" ht="31.5" hidden="false" customHeight="true" outlineLevel="0" collapsed="false">
      <c r="A10" s="6"/>
      <c r="B10" s="7" t="s">
        <v>46</v>
      </c>
      <c r="E10" s="4"/>
      <c r="F10" s="4"/>
      <c r="G10" s="4" t="s">
        <v>47</v>
      </c>
      <c r="J10" s="4" t="n">
        <f aca="false">TRUE()</f>
        <v>1</v>
      </c>
      <c r="K10" s="5" t="n">
        <f aca="false">FALSE()</f>
        <v>0</v>
      </c>
      <c r="L10" s="9" t="s">
        <v>48</v>
      </c>
      <c r="M10" s="4" t="s">
        <v>49</v>
      </c>
    </row>
    <row r="11" customFormat="false" ht="31.5" hidden="false" customHeight="true" outlineLevel="0" collapsed="false">
      <c r="A11" s="6"/>
      <c r="B11" s="7" t="s">
        <v>46</v>
      </c>
      <c r="E11" s="4"/>
      <c r="F11" s="4"/>
      <c r="G11" s="4" t="s">
        <v>50</v>
      </c>
      <c r="J11" s="4" t="n">
        <f aca="false">TRUE()</f>
        <v>1</v>
      </c>
      <c r="K11" s="5" t="n">
        <f aca="false">FALSE()</f>
        <v>0</v>
      </c>
      <c r="L11" s="9" t="s">
        <v>51</v>
      </c>
      <c r="M11" s="4" t="s">
        <v>52</v>
      </c>
    </row>
    <row r="12" customFormat="false" ht="31.5" hidden="false" customHeight="true" outlineLevel="0" collapsed="false">
      <c r="A12" s="6" t="s">
        <v>53</v>
      </c>
      <c r="B12" s="7" t="s">
        <v>54</v>
      </c>
      <c r="C12" s="4" t="s">
        <v>55</v>
      </c>
      <c r="D12" s="4" t="s">
        <v>18</v>
      </c>
      <c r="E12" s="4" t="n">
        <v>220</v>
      </c>
      <c r="F12" s="4" t="s">
        <v>56</v>
      </c>
      <c r="G12" s="4" t="s">
        <v>20</v>
      </c>
      <c r="J12" s="4" t="n">
        <f aca="false">TRUE()</f>
        <v>1</v>
      </c>
      <c r="K12" s="4" t="n">
        <f aca="false">FALSE()</f>
        <v>0</v>
      </c>
      <c r="L12" s="4" t="s">
        <v>57</v>
      </c>
      <c r="M12" s="4" t="s">
        <v>58</v>
      </c>
      <c r="N12" s="4" t="s">
        <v>59</v>
      </c>
      <c r="O12" s="4" t="s">
        <v>60</v>
      </c>
    </row>
    <row r="13" customFormat="false" ht="31.5" hidden="false" customHeight="true" outlineLevel="0" collapsed="false">
      <c r="A13" s="6"/>
      <c r="B13" s="7"/>
      <c r="C13" s="4"/>
      <c r="D13" s="4" t="s">
        <v>31</v>
      </c>
      <c r="E13" s="4" t="s">
        <v>61</v>
      </c>
      <c r="F13" s="4" t="s">
        <v>61</v>
      </c>
      <c r="G13" s="4" t="s">
        <v>20</v>
      </c>
      <c r="J13" s="4" t="n">
        <f aca="false">TRUE()</f>
        <v>1</v>
      </c>
      <c r="K13" s="4" t="n">
        <f aca="false">FALSE()</f>
        <v>0</v>
      </c>
      <c r="L13" s="4"/>
      <c r="M13" s="4" t="s">
        <v>58</v>
      </c>
      <c r="N13" s="4"/>
      <c r="O13" s="4"/>
    </row>
    <row r="14" customFormat="false" ht="31.5" hidden="false" customHeight="true" outlineLevel="0" collapsed="false">
      <c r="A14" s="6"/>
      <c r="B14" s="7"/>
      <c r="D14" s="0" t="s">
        <v>23</v>
      </c>
      <c r="E14" s="4" t="n">
        <v>90</v>
      </c>
      <c r="F14" s="4" t="s">
        <v>62</v>
      </c>
      <c r="G14" s="4" t="s">
        <v>25</v>
      </c>
      <c r="J14" s="4" t="n">
        <f aca="false">TRUE()</f>
        <v>1</v>
      </c>
      <c r="K14" s="4" t="n">
        <f aca="false">FALSE()</f>
        <v>0</v>
      </c>
      <c r="L14" s="4" t="s">
        <v>63</v>
      </c>
      <c r="M14" s="4" t="s">
        <v>64</v>
      </c>
      <c r="O14" s="4"/>
    </row>
    <row r="15" customFormat="false" ht="31.5" hidden="false" customHeight="true" outlineLevel="0" collapsed="false">
      <c r="A15" s="6"/>
      <c r="B15" s="7" t="s">
        <v>65</v>
      </c>
      <c r="C15" s="4" t="s">
        <v>55</v>
      </c>
      <c r="D15" s="4" t="s">
        <v>18</v>
      </c>
      <c r="E15" s="4" t="n">
        <v>200</v>
      </c>
      <c r="F15" s="4" t="s">
        <v>66</v>
      </c>
      <c r="G15" s="4" t="s">
        <v>20</v>
      </c>
      <c r="J15" s="4" t="n">
        <f aca="false">TRUE()</f>
        <v>1</v>
      </c>
      <c r="K15" s="4" t="n">
        <f aca="false">FALSE()</f>
        <v>0</v>
      </c>
      <c r="L15" s="4" t="s">
        <v>67</v>
      </c>
      <c r="M15" s="4" t="s">
        <v>68</v>
      </c>
      <c r="N15" s="4" t="s">
        <v>59</v>
      </c>
      <c r="O15" s="4" t="s">
        <v>60</v>
      </c>
    </row>
    <row r="16" customFormat="false" ht="31.5" hidden="false" customHeight="true" outlineLevel="0" collapsed="false">
      <c r="A16" s="6"/>
      <c r="B16" s="7" t="s">
        <v>69</v>
      </c>
      <c r="C16" s="4" t="s">
        <v>55</v>
      </c>
      <c r="D16" s="4" t="s">
        <v>18</v>
      </c>
      <c r="E16" s="4" t="n">
        <v>1</v>
      </c>
      <c r="F16" s="4" t="s">
        <v>70</v>
      </c>
      <c r="G16" s="4" t="s">
        <v>20</v>
      </c>
      <c r="J16" s="4" t="n">
        <f aca="false">TRUE()</f>
        <v>1</v>
      </c>
      <c r="K16" s="4" t="n">
        <f aca="false">FALSE()</f>
        <v>0</v>
      </c>
      <c r="M16" s="4" t="s">
        <v>71</v>
      </c>
      <c r="N16" s="4"/>
      <c r="O16" s="4"/>
    </row>
    <row r="17" customFormat="false" ht="31.5" hidden="false" customHeight="true" outlineLevel="0" collapsed="false">
      <c r="A17" s="6"/>
      <c r="B17" s="7" t="s">
        <v>72</v>
      </c>
      <c r="C17" s="4" t="s">
        <v>55</v>
      </c>
      <c r="D17" s="4" t="s">
        <v>23</v>
      </c>
      <c r="E17" s="4" t="n">
        <v>40</v>
      </c>
      <c r="F17" s="4" t="s">
        <v>73</v>
      </c>
      <c r="G17" s="4" t="s">
        <v>25</v>
      </c>
      <c r="J17" s="4" t="n">
        <f aca="false">TRUE()</f>
        <v>1</v>
      </c>
      <c r="K17" s="4" t="n">
        <f aca="false">FALSE()</f>
        <v>0</v>
      </c>
      <c r="L17" s="4"/>
      <c r="M17" s="4" t="s">
        <v>74</v>
      </c>
      <c r="N17" s="4"/>
      <c r="O17" s="4"/>
    </row>
    <row r="18" customFormat="false" ht="31.5" hidden="false" customHeight="true" outlineLevel="0" collapsed="false">
      <c r="A18" s="6"/>
      <c r="B18" s="7" t="s">
        <v>75</v>
      </c>
      <c r="C18" s="4" t="s">
        <v>55</v>
      </c>
      <c r="D18" s="4" t="s">
        <v>18</v>
      </c>
      <c r="E18" s="4" t="n">
        <v>160</v>
      </c>
      <c r="F18" s="4" t="s">
        <v>76</v>
      </c>
      <c r="G18" s="4" t="s">
        <v>20</v>
      </c>
      <c r="J18" s="4" t="n">
        <f aca="false">TRUE()</f>
        <v>1</v>
      </c>
      <c r="K18" s="4" t="n">
        <f aca="false">FALSE()</f>
        <v>0</v>
      </c>
      <c r="L18" s="4"/>
      <c r="M18" s="4" t="s">
        <v>77</v>
      </c>
      <c r="N18" s="4"/>
      <c r="O18" s="4"/>
    </row>
    <row r="19" customFormat="false" ht="31.5" hidden="false" customHeight="true" outlineLevel="0" collapsed="false">
      <c r="A19" s="6"/>
      <c r="B19" s="7" t="s">
        <v>78</v>
      </c>
      <c r="C19" s="4"/>
      <c r="D19" s="4" t="s">
        <v>18</v>
      </c>
      <c r="E19" s="4" t="n">
        <v>3.5</v>
      </c>
      <c r="F19" s="4" t="s">
        <v>79</v>
      </c>
      <c r="G19" s="4" t="s">
        <v>20</v>
      </c>
      <c r="J19" s="4" t="n">
        <f aca="false">TRUE()</f>
        <v>1</v>
      </c>
      <c r="K19" s="4" t="n">
        <f aca="false">FALSE()</f>
        <v>0</v>
      </c>
      <c r="L19" s="4"/>
      <c r="M19" s="4" t="s">
        <v>80</v>
      </c>
      <c r="N19" s="4"/>
      <c r="O19" s="4"/>
    </row>
    <row r="20" customFormat="false" ht="31.5" hidden="false" customHeight="true" outlineLevel="0" collapsed="false">
      <c r="A20" s="6"/>
      <c r="B20" s="7"/>
      <c r="C20" s="4"/>
      <c r="D20" s="4" t="s">
        <v>23</v>
      </c>
      <c r="E20" s="4" t="n">
        <v>2.5</v>
      </c>
      <c r="F20" s="4" t="s">
        <v>81</v>
      </c>
      <c r="G20" s="4" t="s">
        <v>25</v>
      </c>
      <c r="J20" s="4" t="n">
        <f aca="false">TRUE()</f>
        <v>1</v>
      </c>
      <c r="K20" s="4" t="n">
        <f aca="false">FALSE()</f>
        <v>0</v>
      </c>
      <c r="L20" s="4"/>
      <c r="M20" s="4" t="s">
        <v>82</v>
      </c>
      <c r="N20" s="4"/>
      <c r="O20" s="4"/>
    </row>
    <row r="21" customFormat="false" ht="31.5" hidden="false" customHeight="true" outlineLevel="0" collapsed="false">
      <c r="A21" s="6"/>
      <c r="B21" s="7" t="s">
        <v>83</v>
      </c>
      <c r="C21" s="4" t="s">
        <v>55</v>
      </c>
      <c r="D21" s="4" t="s">
        <v>18</v>
      </c>
      <c r="E21" s="4" t="n">
        <v>60</v>
      </c>
      <c r="F21" s="4" t="s">
        <v>84</v>
      </c>
      <c r="G21" s="4" t="s">
        <v>20</v>
      </c>
      <c r="J21" s="4" t="n">
        <f aca="false">FALSE()</f>
        <v>0</v>
      </c>
      <c r="K21" s="4" t="n">
        <f aca="false">TRUE()</f>
        <v>1</v>
      </c>
      <c r="L21" s="4" t="s">
        <v>57</v>
      </c>
      <c r="M21" s="4" t="s">
        <v>85</v>
      </c>
      <c r="N21" s="4" t="s">
        <v>59</v>
      </c>
      <c r="O21" s="4" t="s">
        <v>86</v>
      </c>
    </row>
    <row r="22" customFormat="false" ht="31.5" hidden="false" customHeight="true" outlineLevel="0" collapsed="false">
      <c r="A22" s="6" t="s">
        <v>87</v>
      </c>
      <c r="B22" s="7" t="s">
        <v>88</v>
      </c>
      <c r="C22" s="4" t="s">
        <v>89</v>
      </c>
      <c r="D22" s="4" t="s">
        <v>31</v>
      </c>
      <c r="E22" s="8" t="s">
        <v>90</v>
      </c>
      <c r="F22" s="4" t="s">
        <v>90</v>
      </c>
      <c r="G22" s="4" t="s">
        <v>91</v>
      </c>
      <c r="H22" s="4" t="s">
        <v>92</v>
      </c>
      <c r="J22" s="4" t="n">
        <f aca="false">TRUE()</f>
        <v>1</v>
      </c>
      <c r="K22" s="5" t="n">
        <f aca="false">FALSE()</f>
        <v>0</v>
      </c>
      <c r="L22" s="4" t="s">
        <v>93</v>
      </c>
      <c r="M22" s="9" t="s">
        <v>94</v>
      </c>
      <c r="N22" s="10" t="s">
        <v>95</v>
      </c>
      <c r="O22" s="10" t="s">
        <v>96</v>
      </c>
      <c r="P22" s="10"/>
    </row>
    <row r="23" customFormat="false" ht="31.5" hidden="false" customHeight="true" outlineLevel="0" collapsed="false">
      <c r="A23" s="6"/>
      <c r="B23" s="7"/>
      <c r="C23" s="4"/>
      <c r="D23" s="4" t="s">
        <v>31</v>
      </c>
      <c r="E23" s="11" t="s">
        <v>97</v>
      </c>
      <c r="F23" s="4" t="s">
        <v>97</v>
      </c>
      <c r="G23" s="4" t="s">
        <v>98</v>
      </c>
      <c r="H23" s="4" t="s">
        <v>92</v>
      </c>
      <c r="J23" s="4" t="n">
        <f aca="false">FALSE()</f>
        <v>0</v>
      </c>
      <c r="K23" s="4" t="n">
        <f aca="false">TRUE()</f>
        <v>1</v>
      </c>
      <c r="L23" s="4" t="s">
        <v>99</v>
      </c>
      <c r="M23" s="4" t="s">
        <v>100</v>
      </c>
      <c r="N23" s="10" t="s">
        <v>95</v>
      </c>
      <c r="O23" s="10" t="s">
        <v>96</v>
      </c>
      <c r="P23" s="10"/>
    </row>
    <row r="24" customFormat="false" ht="31.5" hidden="false" customHeight="true" outlineLevel="0" collapsed="false">
      <c r="A24" s="6"/>
      <c r="B24" s="7"/>
      <c r="C24" s="4"/>
      <c r="D24" s="4" t="s">
        <v>23</v>
      </c>
      <c r="E24" s="4" t="n">
        <v>7</v>
      </c>
      <c r="F24" s="4" t="s">
        <v>101</v>
      </c>
      <c r="G24" s="4" t="s">
        <v>102</v>
      </c>
      <c r="H24" s="4" t="s">
        <v>92</v>
      </c>
      <c r="J24" s="4" t="n">
        <f aca="false">FALSE()</f>
        <v>0</v>
      </c>
      <c r="K24" s="4" t="n">
        <f aca="false">TRUE()</f>
        <v>1</v>
      </c>
      <c r="L24" s="4" t="s">
        <v>103</v>
      </c>
      <c r="M24" s="4" t="s">
        <v>104</v>
      </c>
      <c r="N24" s="10" t="s">
        <v>95</v>
      </c>
      <c r="O24" s="10" t="s">
        <v>96</v>
      </c>
    </row>
    <row r="25" customFormat="false" ht="31.5" hidden="false" customHeight="true" outlineLevel="0" collapsed="false">
      <c r="A25" s="6"/>
      <c r="B25" s="7"/>
      <c r="C25" s="4" t="s">
        <v>89</v>
      </c>
      <c r="D25" s="4" t="s">
        <v>31</v>
      </c>
      <c r="E25" s="8" t="s">
        <v>105</v>
      </c>
      <c r="F25" s="4" t="s">
        <v>105</v>
      </c>
      <c r="G25" s="4" t="s">
        <v>91</v>
      </c>
      <c r="H25" s="4" t="s">
        <v>106</v>
      </c>
      <c r="J25" s="4" t="n">
        <f aca="false">TRUE()</f>
        <v>1</v>
      </c>
      <c r="K25" s="5" t="n">
        <f aca="false">FALSE()</f>
        <v>0</v>
      </c>
      <c r="L25" s="4" t="s">
        <v>93</v>
      </c>
      <c r="M25" s="4" t="s">
        <v>107</v>
      </c>
      <c r="N25" s="10" t="s">
        <v>95</v>
      </c>
      <c r="O25" s="10" t="s">
        <v>96</v>
      </c>
    </row>
    <row r="26" customFormat="false" ht="31.5" hidden="false" customHeight="true" outlineLevel="0" collapsed="false">
      <c r="A26" s="6"/>
      <c r="B26" s="7"/>
      <c r="D26" s="0" t="s">
        <v>31</v>
      </c>
      <c r="E26" s="4" t="s">
        <v>108</v>
      </c>
      <c r="F26" s="4" t="s">
        <v>108</v>
      </c>
      <c r="G26" s="4" t="s">
        <v>98</v>
      </c>
      <c r="H26" s="4" t="s">
        <v>109</v>
      </c>
      <c r="J26" s="4" t="n">
        <f aca="false">FALSE()</f>
        <v>0</v>
      </c>
      <c r="K26" s="4" t="n">
        <f aca="false">TRUE()</f>
        <v>1</v>
      </c>
      <c r="L26" s="4" t="s">
        <v>99</v>
      </c>
      <c r="M26" s="4" t="s">
        <v>110</v>
      </c>
      <c r="N26" s="10" t="s">
        <v>95</v>
      </c>
      <c r="O26" s="10" t="s">
        <v>96</v>
      </c>
    </row>
    <row r="27" customFormat="false" ht="31.5" hidden="false" customHeight="true" outlineLevel="0" collapsed="false">
      <c r="A27" s="6"/>
      <c r="B27" s="7"/>
      <c r="D27" s="0" t="s">
        <v>23</v>
      </c>
      <c r="E27" s="4" t="n">
        <v>7</v>
      </c>
      <c r="F27" s="4" t="s">
        <v>101</v>
      </c>
      <c r="G27" s="4" t="s">
        <v>102</v>
      </c>
      <c r="H27" s="4" t="s">
        <v>106</v>
      </c>
      <c r="J27" s="4" t="n">
        <f aca="false">FALSE()</f>
        <v>0</v>
      </c>
      <c r="K27" s="4" t="n">
        <f aca="false">TRUE()</f>
        <v>1</v>
      </c>
      <c r="L27" s="4" t="s">
        <v>103</v>
      </c>
      <c r="M27" s="4" t="s">
        <v>111</v>
      </c>
      <c r="N27" s="10" t="s">
        <v>95</v>
      </c>
      <c r="O27" s="10" t="s">
        <v>96</v>
      </c>
    </row>
    <row r="28" customFormat="false" ht="31.5" hidden="false" customHeight="true" outlineLevel="0" collapsed="false">
      <c r="A28" s="12"/>
      <c r="B28" s="7" t="s">
        <v>112</v>
      </c>
      <c r="C28" s="4" t="s">
        <v>113</v>
      </c>
      <c r="D28" s="4" t="s">
        <v>23</v>
      </c>
      <c r="E28" s="4" t="n">
        <v>3.5</v>
      </c>
      <c r="F28" s="4" t="s">
        <v>114</v>
      </c>
      <c r="G28" s="4" t="s">
        <v>25</v>
      </c>
      <c r="H28" s="4" t="s">
        <v>92</v>
      </c>
      <c r="I28" s="4" t="s">
        <v>115</v>
      </c>
      <c r="J28" s="4" t="n">
        <f aca="false">TRUE()</f>
        <v>1</v>
      </c>
      <c r="K28" s="5" t="n">
        <f aca="false">FALSE()</f>
        <v>0</v>
      </c>
      <c r="L28" s="4"/>
      <c r="M28" s="4" t="s">
        <v>116</v>
      </c>
    </row>
    <row r="29" customFormat="false" ht="31.5" hidden="false" customHeight="true" outlineLevel="0" collapsed="false">
      <c r="A29" s="12"/>
      <c r="B29" s="13"/>
      <c r="D29" s="0" t="s">
        <v>23</v>
      </c>
      <c r="E29" s="4" t="n">
        <v>3</v>
      </c>
      <c r="F29" s="4" t="s">
        <v>117</v>
      </c>
      <c r="G29" s="4" t="s">
        <v>25</v>
      </c>
      <c r="H29" s="4" t="s">
        <v>106</v>
      </c>
      <c r="I29" s="4" t="s">
        <v>115</v>
      </c>
      <c r="J29" s="4" t="n">
        <f aca="false">TRUE()</f>
        <v>1</v>
      </c>
      <c r="K29" s="5" t="n">
        <f aca="false">FALSE()</f>
        <v>0</v>
      </c>
      <c r="L29" s="4"/>
      <c r="M29" s="4" t="s">
        <v>116</v>
      </c>
    </row>
    <row r="30" customFormat="false" ht="31.5" hidden="false" customHeight="true" outlineLevel="0" collapsed="false">
      <c r="A30" s="2"/>
      <c r="B30" s="3" t="s">
        <v>118</v>
      </c>
      <c r="C30" s="9" t="s">
        <v>119</v>
      </c>
      <c r="D30" s="9" t="s">
        <v>18</v>
      </c>
      <c r="E30" s="4" t="n">
        <v>11</v>
      </c>
      <c r="F30" s="4" t="s">
        <v>120</v>
      </c>
      <c r="G30" s="4" t="s">
        <v>20</v>
      </c>
      <c r="J30" s="4" t="n">
        <f aca="false">TRUE()</f>
        <v>1</v>
      </c>
      <c r="K30" s="5" t="n">
        <f aca="false">FALSE()</f>
        <v>0</v>
      </c>
      <c r="L30" s="4" t="s">
        <v>121</v>
      </c>
      <c r="M30" s="4" t="s">
        <v>122</v>
      </c>
    </row>
    <row r="31" customFormat="false" ht="31.5" hidden="false" customHeight="true" outlineLevel="0" collapsed="false">
      <c r="A31" s="12"/>
      <c r="B31" s="13"/>
      <c r="D31" s="0" t="s">
        <v>23</v>
      </c>
      <c r="E31" s="4" t="n">
        <v>4</v>
      </c>
      <c r="F31" s="4" t="s">
        <v>123</v>
      </c>
      <c r="G31" s="4" t="s">
        <v>25</v>
      </c>
      <c r="J31" s="4" t="n">
        <f aca="false">TRUE()</f>
        <v>1</v>
      </c>
      <c r="K31" s="5" t="n">
        <f aca="false">FALSE()</f>
        <v>0</v>
      </c>
      <c r="L31" s="4" t="s">
        <v>124</v>
      </c>
      <c r="M31" s="4" t="s">
        <v>125</v>
      </c>
    </row>
    <row r="32" customFormat="false" ht="31.5" hidden="false" customHeight="true" outlineLevel="0" collapsed="false">
      <c r="A32" s="2"/>
      <c r="B32" s="3" t="s">
        <v>126</v>
      </c>
      <c r="C32" s="4" t="s">
        <v>127</v>
      </c>
      <c r="D32" s="4" t="s">
        <v>18</v>
      </c>
      <c r="E32" s="14" t="n">
        <v>0.06</v>
      </c>
      <c r="F32" s="4" t="s">
        <v>128</v>
      </c>
      <c r="G32" s="4" t="s">
        <v>20</v>
      </c>
      <c r="J32" s="4" t="n">
        <f aca="false">TRUE()</f>
        <v>1</v>
      </c>
      <c r="K32" s="5" t="n">
        <f aca="false">FALSE()</f>
        <v>0</v>
      </c>
      <c r="L32" s="4" t="s">
        <v>129</v>
      </c>
      <c r="M32" s="4" t="s">
        <v>130</v>
      </c>
    </row>
    <row r="33" customFormat="false" ht="31.5" hidden="false" customHeight="true" outlineLevel="0" collapsed="false">
      <c r="A33" s="2"/>
      <c r="B33" s="3" t="s">
        <v>131</v>
      </c>
      <c r="C33" s="4" t="s">
        <v>127</v>
      </c>
      <c r="D33" s="4" t="s">
        <v>18</v>
      </c>
      <c r="E33" s="14" t="n">
        <v>0.75</v>
      </c>
      <c r="F33" s="4" t="s">
        <v>132</v>
      </c>
      <c r="G33" s="4" t="s">
        <v>20</v>
      </c>
      <c r="J33" s="4" t="n">
        <f aca="false">TRUE()</f>
        <v>1</v>
      </c>
      <c r="K33" s="5" t="n">
        <f aca="false">FALSE()</f>
        <v>0</v>
      </c>
      <c r="L33" s="4" t="s">
        <v>133</v>
      </c>
      <c r="M33" s="4" t="s">
        <v>134</v>
      </c>
    </row>
    <row r="34" customFormat="false" ht="31.5" hidden="false" customHeight="true" outlineLevel="0" collapsed="false">
      <c r="A34" s="12"/>
      <c r="B34" s="13"/>
      <c r="D34" s="0" t="s">
        <v>23</v>
      </c>
      <c r="E34" s="14" t="n">
        <v>0.45</v>
      </c>
      <c r="F34" s="4" t="s">
        <v>135</v>
      </c>
      <c r="G34" s="4" t="s">
        <v>25</v>
      </c>
      <c r="J34" s="4" t="n">
        <f aca="false">TRUE()</f>
        <v>1</v>
      </c>
      <c r="K34" s="5" t="n">
        <f aca="false">FALSE()</f>
        <v>0</v>
      </c>
      <c r="L34" s="4" t="s">
        <v>136</v>
      </c>
      <c r="M34" s="4" t="s">
        <v>137</v>
      </c>
    </row>
    <row r="35" customFormat="false" ht="31.5" hidden="false" customHeight="true" outlineLevel="0" collapsed="false">
      <c r="A35" s="2"/>
      <c r="B35" s="3" t="s">
        <v>138</v>
      </c>
      <c r="C35" s="4" t="s">
        <v>127</v>
      </c>
      <c r="D35" s="4" t="s">
        <v>18</v>
      </c>
      <c r="E35" s="14" t="n">
        <v>0.45</v>
      </c>
      <c r="F35" s="4" t="s">
        <v>139</v>
      </c>
      <c r="G35" s="4" t="s">
        <v>20</v>
      </c>
      <c r="J35" s="4" t="n">
        <f aca="false">TRUE()</f>
        <v>1</v>
      </c>
      <c r="K35" s="5" t="n">
        <f aca="false">FALSE()</f>
        <v>0</v>
      </c>
      <c r="L35" s="4" t="s">
        <v>140</v>
      </c>
      <c r="M35" s="4" t="s">
        <v>141</v>
      </c>
    </row>
    <row r="36" customFormat="false" ht="31.5" hidden="false" customHeight="true" outlineLevel="0" collapsed="false">
      <c r="A36" s="12"/>
      <c r="B36" s="13"/>
      <c r="D36" s="0" t="s">
        <v>23</v>
      </c>
      <c r="E36" s="14" t="n">
        <v>0.25</v>
      </c>
      <c r="F36" s="4" t="s">
        <v>142</v>
      </c>
      <c r="G36" s="4" t="s">
        <v>25</v>
      </c>
      <c r="J36" s="4" t="n">
        <f aca="false">TRUE()</f>
        <v>1</v>
      </c>
      <c r="K36" s="5" t="n">
        <f aca="false">FALSE()</f>
        <v>0</v>
      </c>
      <c r="L36" s="4" t="s">
        <v>143</v>
      </c>
      <c r="M36" s="4" t="s">
        <v>144</v>
      </c>
    </row>
    <row r="37" customFormat="false" ht="31.5" hidden="false" customHeight="true" outlineLevel="0" collapsed="false">
      <c r="A37" s="2"/>
      <c r="B37" s="3" t="s">
        <v>145</v>
      </c>
      <c r="C37" s="4" t="s">
        <v>127</v>
      </c>
      <c r="D37" s="4" t="s">
        <v>18</v>
      </c>
      <c r="E37" s="4" t="n">
        <v>10</v>
      </c>
      <c r="F37" s="4" t="s">
        <v>146</v>
      </c>
      <c r="G37" s="4" t="s">
        <v>20</v>
      </c>
      <c r="J37" s="4" t="n">
        <f aca="false">TRUE()</f>
        <v>1</v>
      </c>
      <c r="K37" s="5" t="n">
        <f aca="false">FALSE()</f>
        <v>0</v>
      </c>
      <c r="L37" s="4" t="s">
        <v>147</v>
      </c>
      <c r="M37" s="4" t="s">
        <v>148</v>
      </c>
    </row>
    <row r="38" customFormat="false" ht="31.5" hidden="false" customHeight="true" outlineLevel="0" collapsed="false">
      <c r="A38" s="2"/>
      <c r="B38" s="3" t="s">
        <v>149</v>
      </c>
      <c r="C38" s="4" t="s">
        <v>127</v>
      </c>
      <c r="D38" s="4" t="s">
        <v>18</v>
      </c>
      <c r="E38" s="14" t="n">
        <v>0.01</v>
      </c>
      <c r="F38" s="4" t="s">
        <v>150</v>
      </c>
      <c r="G38" s="4" t="s">
        <v>20</v>
      </c>
      <c r="J38" s="4" t="n">
        <f aca="false">TRUE()</f>
        <v>1</v>
      </c>
      <c r="K38" s="5" t="n">
        <f aca="false">FALSE()</f>
        <v>0</v>
      </c>
      <c r="M38" s="4" t="s">
        <v>151</v>
      </c>
    </row>
    <row r="39" customFormat="false" ht="31.5" hidden="false" customHeight="true" outlineLevel="0" collapsed="false">
      <c r="A39" s="2" t="n">
        <v>1</v>
      </c>
      <c r="B39" s="3" t="s">
        <v>152</v>
      </c>
      <c r="C39" s="4" t="s">
        <v>153</v>
      </c>
      <c r="D39" s="4" t="s">
        <v>23</v>
      </c>
      <c r="E39" s="4" t="n">
        <v>80</v>
      </c>
      <c r="F39" s="4" t="s">
        <v>154</v>
      </c>
      <c r="G39" s="4" t="s">
        <v>25</v>
      </c>
      <c r="J39" s="4" t="n">
        <f aca="false">TRUE()</f>
        <v>1</v>
      </c>
      <c r="K39" s="5" t="n">
        <f aca="false">FALSE()</f>
        <v>0</v>
      </c>
      <c r="L39" s="4" t="s">
        <v>155</v>
      </c>
    </row>
    <row r="40" customFormat="false" ht="31.5" hidden="false" customHeight="true" outlineLevel="0" collapsed="false">
      <c r="A40" s="12"/>
      <c r="B40" s="3" t="s">
        <v>156</v>
      </c>
      <c r="C40" s="4" t="s">
        <v>157</v>
      </c>
      <c r="D40" s="4" t="s">
        <v>23</v>
      </c>
      <c r="E40" s="4" t="n">
        <v>27</v>
      </c>
      <c r="F40" s="4" t="s">
        <v>158</v>
      </c>
      <c r="G40" s="4" t="s">
        <v>25</v>
      </c>
      <c r="J40" s="4" t="n">
        <f aca="false">TRUE()</f>
        <v>1</v>
      </c>
      <c r="K40" s="5" t="n">
        <f aca="false">FALSE()</f>
        <v>0</v>
      </c>
      <c r="L40" s="4"/>
    </row>
    <row r="41" customFormat="false" ht="31.5" hidden="false" customHeight="true" outlineLevel="0" collapsed="false">
      <c r="A41" s="2"/>
      <c r="B41" s="3" t="s">
        <v>159</v>
      </c>
      <c r="C41" s="4" t="s">
        <v>160</v>
      </c>
      <c r="D41" s="4" t="s">
        <v>23</v>
      </c>
      <c r="E41" s="15" t="n">
        <v>30</v>
      </c>
      <c r="F41" s="15" t="s">
        <v>161</v>
      </c>
      <c r="G41" s="4" t="s">
        <v>25</v>
      </c>
      <c r="J41" s="4" t="n">
        <f aca="false">TRUE()</f>
        <v>1</v>
      </c>
      <c r="K41" s="5" t="n">
        <f aca="false">FALSE()</f>
        <v>0</v>
      </c>
    </row>
    <row r="42" customFormat="false" ht="31.5" hidden="false" customHeight="true" outlineLevel="0" collapsed="false">
      <c r="A42" s="2" t="n">
        <v>2</v>
      </c>
      <c r="B42" s="3" t="s">
        <v>152</v>
      </c>
      <c r="C42" s="4" t="s">
        <v>153</v>
      </c>
      <c r="D42" s="4" t="s">
        <v>31</v>
      </c>
      <c r="E42" s="4" t="s">
        <v>162</v>
      </c>
      <c r="F42" s="4" t="s">
        <v>162</v>
      </c>
      <c r="G42" s="4" t="s">
        <v>163</v>
      </c>
      <c r="J42" s="4" t="n">
        <f aca="false">TRUE()</f>
        <v>1</v>
      </c>
      <c r="K42" s="5" t="n">
        <f aca="false">FALSE()</f>
        <v>0</v>
      </c>
      <c r="L42" s="4" t="s">
        <v>164</v>
      </c>
    </row>
    <row r="43" customFormat="false" ht="31.5" hidden="false" customHeight="true" outlineLevel="0" collapsed="false">
      <c r="A43" s="2"/>
      <c r="B43" s="3" t="s">
        <v>156</v>
      </c>
      <c r="C43" s="4" t="s">
        <v>157</v>
      </c>
      <c r="D43" s="4" t="s">
        <v>165</v>
      </c>
      <c r="E43" s="4" t="n">
        <f aca="false"> 27</f>
        <v>27</v>
      </c>
      <c r="F43" s="4" t="s">
        <v>166</v>
      </c>
      <c r="G43" s="4" t="s">
        <v>163</v>
      </c>
      <c r="J43" s="4" t="n">
        <f aca="false">TRUE()</f>
        <v>1</v>
      </c>
      <c r="K43" s="5" t="n">
        <f aca="false">FALSE()</f>
        <v>0</v>
      </c>
    </row>
    <row r="44" customFormat="false" ht="31.5" hidden="false" customHeight="true" outlineLevel="0" collapsed="false">
      <c r="A44" s="12"/>
      <c r="B44" s="3" t="s">
        <v>159</v>
      </c>
      <c r="C44" s="4" t="s">
        <v>127</v>
      </c>
      <c r="D44" s="4" t="s">
        <v>31</v>
      </c>
      <c r="E44" s="4" t="s">
        <v>167</v>
      </c>
      <c r="F44" s="4" t="s">
        <v>167</v>
      </c>
      <c r="G44" s="4" t="s">
        <v>163</v>
      </c>
      <c r="J44" s="4" t="n">
        <f aca="false">TRUE()</f>
        <v>1</v>
      </c>
      <c r="K44" s="5" t="n">
        <f aca="false">FALSE()</f>
        <v>0</v>
      </c>
    </row>
    <row r="45" customFormat="false" ht="31.5" hidden="false" customHeight="true" outlineLevel="0" collapsed="false">
      <c r="A45" s="2" t="n">
        <v>3</v>
      </c>
      <c r="B45" s="3" t="s">
        <v>152</v>
      </c>
      <c r="C45" s="4" t="s">
        <v>153</v>
      </c>
      <c r="D45" s="4" t="s">
        <v>18</v>
      </c>
      <c r="E45" s="4" t="n">
        <v>95</v>
      </c>
      <c r="F45" s="4" t="s">
        <v>168</v>
      </c>
      <c r="G45" s="4" t="s">
        <v>20</v>
      </c>
      <c r="J45" s="4" t="n">
        <f aca="false">TRUE()</f>
        <v>1</v>
      </c>
      <c r="K45" s="5" t="n">
        <f aca="false">FALSE()</f>
        <v>0</v>
      </c>
      <c r="L45" s="4" t="s">
        <v>169</v>
      </c>
    </row>
    <row r="46" customFormat="false" ht="31.5" hidden="false" customHeight="true" outlineLevel="0" collapsed="false">
      <c r="A46" s="12"/>
      <c r="B46" s="3" t="s">
        <v>156</v>
      </c>
      <c r="C46" s="4" t="s">
        <v>157</v>
      </c>
      <c r="D46" s="4" t="s">
        <v>18</v>
      </c>
      <c r="E46" s="4" t="n">
        <v>32</v>
      </c>
      <c r="F46" s="4" t="s">
        <v>170</v>
      </c>
      <c r="G46" s="4" t="s">
        <v>20</v>
      </c>
      <c r="J46" s="4" t="n">
        <f aca="false">TRUE()</f>
        <v>1</v>
      </c>
      <c r="K46" s="5" t="n">
        <f aca="false">FALSE()</f>
        <v>0</v>
      </c>
    </row>
    <row r="47" customFormat="false" ht="31.5" hidden="false" customHeight="true" outlineLevel="0" collapsed="false">
      <c r="A47" s="12"/>
      <c r="B47" s="3" t="s">
        <v>159</v>
      </c>
      <c r="C47" s="4" t="s">
        <v>127</v>
      </c>
      <c r="D47" s="4" t="s">
        <v>31</v>
      </c>
      <c r="E47" s="4" t="s">
        <v>167</v>
      </c>
      <c r="F47" s="4" t="s">
        <v>167</v>
      </c>
      <c r="G47" s="4" t="s">
        <v>163</v>
      </c>
      <c r="J47" s="4" t="n">
        <f aca="false">TRUE()</f>
        <v>1</v>
      </c>
      <c r="K47" s="5" t="n">
        <f aca="false">FALSE()</f>
        <v>0</v>
      </c>
    </row>
    <row r="48" customFormat="false" ht="31.5" hidden="false" customHeight="true" outlineLevel="0" collapsed="false">
      <c r="A48" s="2"/>
      <c r="B48" s="3" t="s">
        <v>171</v>
      </c>
      <c r="C48" s="4" t="s">
        <v>172</v>
      </c>
      <c r="D48" s="4" t="s">
        <v>18</v>
      </c>
      <c r="E48" s="4" t="n">
        <v>400</v>
      </c>
      <c r="F48" s="4" t="s">
        <v>173</v>
      </c>
      <c r="G48" s="4" t="s">
        <v>20</v>
      </c>
      <c r="J48" s="4" t="n">
        <f aca="false">FALSE()</f>
        <v>0</v>
      </c>
      <c r="K48" s="4" t="n">
        <f aca="false">TRUE()</f>
        <v>1</v>
      </c>
      <c r="L48" s="4" t="s">
        <v>174</v>
      </c>
      <c r="M48" s="4" t="s">
        <v>175</v>
      </c>
    </row>
    <row r="49" customFormat="false" ht="31.5" hidden="false" customHeight="true" outlineLevel="0" collapsed="false">
      <c r="A49" s="12"/>
      <c r="B49" s="13"/>
      <c r="C49" s="4" t="s">
        <v>172</v>
      </c>
      <c r="D49" s="4" t="s">
        <v>23</v>
      </c>
      <c r="E49" s="4" t="n">
        <v>150</v>
      </c>
      <c r="F49" s="4" t="s">
        <v>176</v>
      </c>
      <c r="G49" s="4" t="s">
        <v>25</v>
      </c>
      <c r="J49" s="4" t="n">
        <f aca="false">FALSE()</f>
        <v>0</v>
      </c>
      <c r="K49" s="4" t="n">
        <f aca="false">TRUE()</f>
        <v>1</v>
      </c>
      <c r="L49" s="4" t="s">
        <v>177</v>
      </c>
      <c r="M49" s="4" t="s">
        <v>178</v>
      </c>
    </row>
    <row r="50" customFormat="false" ht="31.5" hidden="false" customHeight="true" outlineLevel="0" collapsed="false">
      <c r="A50" s="12"/>
      <c r="B50" s="3" t="s">
        <v>179</v>
      </c>
      <c r="C50" s="4" t="s">
        <v>127</v>
      </c>
      <c r="D50" s="4" t="s">
        <v>18</v>
      </c>
      <c r="E50" s="4" t="n">
        <v>16</v>
      </c>
      <c r="F50" s="4" t="s">
        <v>180</v>
      </c>
      <c r="G50" s="4" t="s">
        <v>20</v>
      </c>
      <c r="J50" s="4" t="n">
        <f aca="false">TRUE()</f>
        <v>1</v>
      </c>
      <c r="K50" s="4" t="n">
        <f aca="false">FALSE()</f>
        <v>0</v>
      </c>
      <c r="M50" s="4" t="s">
        <v>181</v>
      </c>
    </row>
    <row r="51" customFormat="false" ht="31.5" hidden="false" customHeight="true" outlineLevel="0" collapsed="false">
      <c r="A51" s="12"/>
      <c r="B51" s="13"/>
      <c r="C51" s="4"/>
      <c r="D51" s="4" t="s">
        <v>23</v>
      </c>
      <c r="E51" s="4" t="n">
        <v>11</v>
      </c>
      <c r="F51" s="4" t="s">
        <v>182</v>
      </c>
      <c r="G51" s="4" t="s">
        <v>25</v>
      </c>
      <c r="J51" s="4" t="n">
        <f aca="false">TRUE()</f>
        <v>1</v>
      </c>
      <c r="K51" s="4" t="n">
        <f aca="false">FALSE()</f>
        <v>0</v>
      </c>
      <c r="M51" s="4" t="s">
        <v>183</v>
      </c>
    </row>
    <row r="52" customFormat="false" ht="31.5" hidden="false" customHeight="true" outlineLevel="0" collapsed="false">
      <c r="A52" s="12"/>
      <c r="B52" s="3" t="s">
        <v>184</v>
      </c>
      <c r="C52" s="4" t="s">
        <v>127</v>
      </c>
      <c r="D52" s="4" t="s">
        <v>18</v>
      </c>
      <c r="E52" s="4" t="n">
        <v>54</v>
      </c>
      <c r="F52" s="4" t="s">
        <v>185</v>
      </c>
      <c r="G52" s="4" t="s">
        <v>20</v>
      </c>
      <c r="J52" s="4" t="n">
        <f aca="false">TRUE()</f>
        <v>1</v>
      </c>
      <c r="K52" s="4" t="n">
        <f aca="false">FALSE()</f>
        <v>0</v>
      </c>
      <c r="L52" s="4"/>
      <c r="M52" s="4" t="s">
        <v>186</v>
      </c>
    </row>
    <row r="53" customFormat="false" ht="31.5" hidden="false" customHeight="true" outlineLevel="0" collapsed="false">
      <c r="A53" s="12"/>
      <c r="B53" s="13"/>
      <c r="C53" s="4"/>
      <c r="D53" s="4" t="s">
        <v>23</v>
      </c>
      <c r="E53" s="4" t="n">
        <v>36</v>
      </c>
      <c r="F53" s="4" t="s">
        <v>187</v>
      </c>
      <c r="G53" s="4" t="s">
        <v>25</v>
      </c>
      <c r="J53" s="4" t="n">
        <f aca="false">TRUE()</f>
        <v>1</v>
      </c>
      <c r="K53" s="4" t="n">
        <f aca="false">FALSE()</f>
        <v>0</v>
      </c>
      <c r="L53" s="4"/>
      <c r="M53" s="4" t="s">
        <v>188</v>
      </c>
    </row>
    <row r="54" customFormat="false" ht="31.5" hidden="false" customHeight="true" outlineLevel="0" collapsed="false">
      <c r="A54" s="2" t="s">
        <v>189</v>
      </c>
      <c r="B54" s="3" t="s">
        <v>190</v>
      </c>
      <c r="C54" s="4" t="s">
        <v>127</v>
      </c>
      <c r="D54" s="4" t="s">
        <v>31</v>
      </c>
      <c r="E54" s="4" t="s">
        <v>191</v>
      </c>
      <c r="F54" s="4" t="s">
        <v>191</v>
      </c>
      <c r="G54" s="4"/>
      <c r="H54" s="4"/>
      <c r="I54" s="4"/>
      <c r="J54" s="4" t="n">
        <f aca="false">TRUE()</f>
        <v>1</v>
      </c>
      <c r="K54" s="4" t="n">
        <f aca="false">FALSE()</f>
        <v>0</v>
      </c>
      <c r="L54" s="4" t="s">
        <v>192</v>
      </c>
      <c r="M54" s="4" t="s">
        <v>193</v>
      </c>
      <c r="N54" s="16" t="s">
        <v>194</v>
      </c>
      <c r="O54" s="4" t="s">
        <v>195</v>
      </c>
      <c r="P54" s="16"/>
    </row>
    <row r="55" customFormat="false" ht="31.5" hidden="false" customHeight="true" outlineLevel="0" collapsed="false">
      <c r="A55" s="2"/>
      <c r="B55" s="3"/>
      <c r="D55" s="0" t="s">
        <v>18</v>
      </c>
      <c r="E55" s="4" t="n">
        <v>6.4</v>
      </c>
      <c r="F55" s="4" t="s">
        <v>196</v>
      </c>
      <c r="G55" s="4"/>
      <c r="H55" s="4"/>
      <c r="I55" s="4"/>
      <c r="J55" s="4" t="n">
        <f aca="false">FALSE()</f>
        <v>0</v>
      </c>
      <c r="K55" s="4" t="n">
        <f aca="false">TRUE()</f>
        <v>1</v>
      </c>
      <c r="L55" s="4" t="s">
        <v>197</v>
      </c>
      <c r="N55" s="16" t="s">
        <v>194</v>
      </c>
      <c r="O55" s="4" t="s">
        <v>195</v>
      </c>
      <c r="P55" s="16"/>
    </row>
    <row r="56" customFormat="false" ht="31.5" hidden="false" customHeight="true" outlineLevel="0" collapsed="false">
      <c r="A56" s="2"/>
      <c r="B56" s="3" t="s">
        <v>198</v>
      </c>
      <c r="C56" s="4" t="s">
        <v>55</v>
      </c>
      <c r="D56" s="4" t="s">
        <v>18</v>
      </c>
      <c r="E56" s="4" t="n">
        <v>140</v>
      </c>
      <c r="F56" s="4" t="s">
        <v>199</v>
      </c>
      <c r="G56" s="4" t="s">
        <v>20</v>
      </c>
      <c r="J56" s="4" t="n">
        <f aca="false">TRUE()</f>
        <v>1</v>
      </c>
      <c r="K56" s="5" t="n">
        <f aca="false">FALSE()</f>
        <v>0</v>
      </c>
      <c r="L56" s="4" t="s">
        <v>200</v>
      </c>
      <c r="M56" s="4" t="s">
        <v>201</v>
      </c>
      <c r="N56" s="16" t="s">
        <v>194</v>
      </c>
      <c r="O56" s="4" t="s">
        <v>202</v>
      </c>
    </row>
    <row r="57" customFormat="false" ht="31.5" hidden="false" customHeight="true" outlineLevel="0" collapsed="false">
      <c r="A57" s="12"/>
      <c r="B57" s="13"/>
      <c r="C57" s="4" t="s">
        <v>55</v>
      </c>
      <c r="D57" s="4" t="s">
        <v>23</v>
      </c>
      <c r="E57" s="4" t="n">
        <v>60</v>
      </c>
      <c r="F57" s="4" t="s">
        <v>203</v>
      </c>
      <c r="G57" s="4" t="s">
        <v>25</v>
      </c>
      <c r="J57" s="4" t="n">
        <f aca="false">TRUE()</f>
        <v>1</v>
      </c>
      <c r="K57" s="5" t="n">
        <f aca="false">FALSE()</f>
        <v>0</v>
      </c>
      <c r="L57" s="4" t="s">
        <v>204</v>
      </c>
      <c r="M57" s="4" t="s">
        <v>205</v>
      </c>
      <c r="N57" s="4" t="s">
        <v>206</v>
      </c>
    </row>
    <row r="58" customFormat="false" ht="31.5" hidden="false" customHeight="true" outlineLevel="0" collapsed="false">
      <c r="A58" s="2" t="s">
        <v>207</v>
      </c>
      <c r="B58" s="3" t="s">
        <v>208</v>
      </c>
      <c r="C58" s="4" t="s">
        <v>89</v>
      </c>
      <c r="D58" s="4" t="s">
        <v>18</v>
      </c>
      <c r="E58" s="4" t="n">
        <v>8.3</v>
      </c>
      <c r="F58" s="4" t="s">
        <v>209</v>
      </c>
      <c r="G58" s="4" t="s">
        <v>20</v>
      </c>
      <c r="J58" s="4" t="n">
        <f aca="false">TRUE()</f>
        <v>1</v>
      </c>
      <c r="K58" s="5" t="n">
        <f aca="false">FALSE()</f>
        <v>0</v>
      </c>
      <c r="L58" s="4" t="s">
        <v>210</v>
      </c>
      <c r="M58" s="4" t="s">
        <v>211</v>
      </c>
    </row>
    <row r="59" customFormat="false" ht="31.5" hidden="false" customHeight="true" outlineLevel="0" collapsed="false">
      <c r="A59" s="12"/>
      <c r="B59" s="13"/>
      <c r="C59" s="4" t="s">
        <v>89</v>
      </c>
      <c r="D59" s="4" t="s">
        <v>23</v>
      </c>
      <c r="E59" s="4" t="n">
        <v>6</v>
      </c>
      <c r="F59" s="4" t="s">
        <v>212</v>
      </c>
      <c r="G59" s="4" t="s">
        <v>25</v>
      </c>
      <c r="J59" s="4" t="n">
        <f aca="false">TRUE()</f>
        <v>1</v>
      </c>
      <c r="K59" s="5" t="n">
        <f aca="false">FALSE()</f>
        <v>0</v>
      </c>
      <c r="L59" s="4" t="s">
        <v>213</v>
      </c>
      <c r="M59" s="4" t="s">
        <v>214</v>
      </c>
    </row>
    <row r="60" customFormat="false" ht="31.5" hidden="false" customHeight="true" outlineLevel="0" collapsed="false">
      <c r="A60" s="2"/>
      <c r="B60" s="3" t="s">
        <v>215</v>
      </c>
      <c r="C60" s="4" t="s">
        <v>55</v>
      </c>
      <c r="D60" s="4" t="s">
        <v>18</v>
      </c>
      <c r="E60" s="4" t="n">
        <v>1</v>
      </c>
      <c r="F60" s="4" t="s">
        <v>216</v>
      </c>
      <c r="G60" s="4" t="s">
        <v>20</v>
      </c>
      <c r="J60" s="4" t="n">
        <f aca="false">FALSE()</f>
        <v>0</v>
      </c>
      <c r="K60" s="4" t="n">
        <f aca="false">TRUE()</f>
        <v>1</v>
      </c>
      <c r="L60" s="4" t="s">
        <v>217</v>
      </c>
      <c r="M60" s="4" t="s">
        <v>218</v>
      </c>
    </row>
    <row r="61" customFormat="false" ht="31.5" hidden="false" customHeight="true" outlineLevel="0" collapsed="false">
      <c r="A61" s="2"/>
      <c r="B61" s="3" t="s">
        <v>219</v>
      </c>
      <c r="C61" s="4" t="s">
        <v>55</v>
      </c>
      <c r="D61" s="4" t="s">
        <v>18</v>
      </c>
      <c r="E61" s="4" t="n">
        <v>0.4</v>
      </c>
      <c r="F61" s="4" t="s">
        <v>220</v>
      </c>
      <c r="G61" s="4" t="s">
        <v>20</v>
      </c>
      <c r="J61" s="4" t="n">
        <f aca="false">FALSE()</f>
        <v>0</v>
      </c>
      <c r="K61" s="4" t="n">
        <f aca="false">TRUE()</f>
        <v>1</v>
      </c>
      <c r="L61" s="4" t="s">
        <v>217</v>
      </c>
      <c r="M61" s="4" t="s">
        <v>221</v>
      </c>
    </row>
    <row r="62" customFormat="false" ht="31.5" hidden="false" customHeight="true" outlineLevel="0" collapsed="false">
      <c r="A62" s="12"/>
      <c r="B62" s="3" t="s">
        <v>222</v>
      </c>
      <c r="C62" s="4" t="s">
        <v>55</v>
      </c>
      <c r="D62" s="4" t="s">
        <v>18</v>
      </c>
      <c r="E62" s="4" t="n">
        <v>1</v>
      </c>
      <c r="F62" s="4" t="s">
        <v>70</v>
      </c>
      <c r="G62" s="4" t="s">
        <v>20</v>
      </c>
      <c r="J62" s="4" t="n">
        <f aca="false">TRUE()</f>
        <v>1</v>
      </c>
      <c r="K62" s="5" t="n">
        <f aca="false">FALSE()</f>
        <v>0</v>
      </c>
      <c r="M62" s="4" t="s">
        <v>223</v>
      </c>
    </row>
    <row r="63" customFormat="false" ht="31.5" hidden="false" customHeight="true" outlineLevel="0" collapsed="false">
      <c r="A63" s="2"/>
      <c r="B63" s="3" t="s">
        <v>224</v>
      </c>
      <c r="C63" s="4" t="s">
        <v>89</v>
      </c>
      <c r="D63" s="4" t="s">
        <v>23</v>
      </c>
      <c r="E63" s="4" t="n">
        <v>3.5</v>
      </c>
      <c r="F63" s="4" t="s">
        <v>225</v>
      </c>
      <c r="G63" s="4" t="s">
        <v>25</v>
      </c>
      <c r="J63" s="4" t="n">
        <f aca="false">FALSE()</f>
        <v>0</v>
      </c>
      <c r="K63" s="4" t="n">
        <f aca="false">TRUE()</f>
        <v>1</v>
      </c>
      <c r="L63" s="4" t="s">
        <v>226</v>
      </c>
      <c r="M63" s="4" t="s">
        <v>227</v>
      </c>
    </row>
    <row r="64" customFormat="false" ht="31.5" hidden="false" customHeight="true" outlineLevel="0" collapsed="false">
      <c r="A64" s="2"/>
      <c r="B64" s="3" t="s">
        <v>228</v>
      </c>
      <c r="C64" s="4" t="s">
        <v>229</v>
      </c>
      <c r="D64" s="4" t="s">
        <v>18</v>
      </c>
      <c r="E64" s="4" t="n">
        <v>125</v>
      </c>
      <c r="F64" s="4" t="s">
        <v>230</v>
      </c>
      <c r="G64" s="4" t="s">
        <v>20</v>
      </c>
      <c r="J64" s="4" t="n">
        <f aca="false">FALSE()</f>
        <v>0</v>
      </c>
      <c r="K64" s="4" t="n">
        <f aca="false">TRUE()</f>
        <v>1</v>
      </c>
      <c r="L64" s="4" t="s">
        <v>231</v>
      </c>
      <c r="M64" s="4" t="s">
        <v>232</v>
      </c>
    </row>
    <row r="65" customFormat="false" ht="31.5" hidden="false" customHeight="true" outlineLevel="0" collapsed="false">
      <c r="A65" s="2"/>
      <c r="B65" s="3" t="s">
        <v>233</v>
      </c>
      <c r="C65" s="4" t="s">
        <v>234</v>
      </c>
      <c r="D65" s="4" t="s">
        <v>18</v>
      </c>
      <c r="E65" s="4" t="n">
        <v>49</v>
      </c>
      <c r="F65" s="4" t="s">
        <v>235</v>
      </c>
      <c r="G65" s="4" t="s">
        <v>20</v>
      </c>
      <c r="J65" s="4" t="n">
        <f aca="false">TRUE()</f>
        <v>1</v>
      </c>
      <c r="K65" s="4" t="n">
        <f aca="false">FALSE()</f>
        <v>0</v>
      </c>
      <c r="L65" s="4"/>
      <c r="M65" s="9" t="s">
        <v>236</v>
      </c>
    </row>
    <row r="66" customFormat="false" ht="31.5" hidden="false" customHeight="true" outlineLevel="0" collapsed="false">
      <c r="A66" s="2"/>
      <c r="B66" s="3" t="s">
        <v>237</v>
      </c>
      <c r="C66" s="4" t="s">
        <v>234</v>
      </c>
      <c r="D66" s="4" t="s">
        <v>18</v>
      </c>
      <c r="E66" s="4" t="n">
        <v>46</v>
      </c>
      <c r="F66" s="4" t="s">
        <v>238</v>
      </c>
      <c r="G66" s="4" t="s">
        <v>20</v>
      </c>
      <c r="J66" s="4" t="n">
        <f aca="false">TRUE()</f>
        <v>1</v>
      </c>
      <c r="K66" s="4" t="n">
        <f aca="false">FALSE()</f>
        <v>0</v>
      </c>
      <c r="L66" s="4"/>
      <c r="M66" s="4"/>
    </row>
    <row r="67" customFormat="false" ht="31.5" hidden="false" customHeight="true" outlineLevel="0" collapsed="false">
      <c r="A67" s="2"/>
      <c r="B67" s="3" t="s">
        <v>239</v>
      </c>
      <c r="C67" s="4" t="s">
        <v>127</v>
      </c>
      <c r="D67" s="4" t="s">
        <v>18</v>
      </c>
      <c r="E67" s="4" t="n">
        <v>1</v>
      </c>
      <c r="F67" s="4" t="s">
        <v>240</v>
      </c>
      <c r="G67" s="4" t="s">
        <v>20</v>
      </c>
      <c r="J67" s="4" t="n">
        <f aca="false">TRUE()</f>
        <v>1</v>
      </c>
      <c r="K67" s="4" t="n">
        <f aca="false">FALSE()</f>
        <v>0</v>
      </c>
      <c r="L67" s="4"/>
      <c r="M67" s="4" t="s">
        <v>241</v>
      </c>
    </row>
    <row r="68" customFormat="false" ht="31.5" hidden="false" customHeight="true" outlineLevel="0" collapsed="false">
      <c r="A68" s="2"/>
      <c r="B68" s="3" t="s">
        <v>242</v>
      </c>
      <c r="C68" s="4" t="s">
        <v>243</v>
      </c>
      <c r="D68" s="4" t="s">
        <v>18</v>
      </c>
      <c r="E68" s="4" t="n">
        <v>3.5</v>
      </c>
      <c r="F68" s="4" t="s">
        <v>79</v>
      </c>
      <c r="G68" s="4" t="s">
        <v>20</v>
      </c>
      <c r="J68" s="4" t="n">
        <f aca="false">FALSE()</f>
        <v>0</v>
      </c>
      <c r="K68" s="4" t="n">
        <f aca="false">FALSE()</f>
        <v>0</v>
      </c>
      <c r="L68" s="4"/>
      <c r="M68" s="4" t="s">
        <v>244</v>
      </c>
    </row>
    <row r="69" customFormat="false" ht="31.5" hidden="false" customHeight="true" outlineLevel="0" collapsed="false">
      <c r="A69" s="2"/>
      <c r="B69" s="3"/>
      <c r="C69" s="4"/>
      <c r="D69" s="4" t="s">
        <v>23</v>
      </c>
      <c r="E69" s="4" t="n">
        <v>2</v>
      </c>
      <c r="F69" s="4" t="s">
        <v>38</v>
      </c>
      <c r="G69" s="4" t="s">
        <v>25</v>
      </c>
      <c r="J69" s="4" t="n">
        <f aca="false">FALSE()</f>
        <v>0</v>
      </c>
      <c r="K69" s="4" t="n">
        <f aca="false">FALSE()</f>
        <v>0</v>
      </c>
      <c r="L69" s="4"/>
      <c r="M69" s="4" t="s">
        <v>245</v>
      </c>
    </row>
    <row r="70" customFormat="false" ht="31.5" hidden="false" customHeight="true" outlineLevel="0" collapsed="false">
      <c r="A70" s="2" t="s">
        <v>246</v>
      </c>
      <c r="B70" s="3" t="s">
        <v>247</v>
      </c>
      <c r="C70" s="4" t="s">
        <v>55</v>
      </c>
      <c r="D70" s="4" t="s">
        <v>18</v>
      </c>
      <c r="E70" s="4" t="n">
        <v>40</v>
      </c>
      <c r="F70" s="4" t="s">
        <v>248</v>
      </c>
      <c r="G70" s="4" t="s">
        <v>20</v>
      </c>
      <c r="J70" s="4" t="n">
        <f aca="false">TRUE()</f>
        <v>1</v>
      </c>
      <c r="K70" s="5" t="n">
        <f aca="false">FALSE()</f>
        <v>0</v>
      </c>
      <c r="M70" s="4" t="s">
        <v>249</v>
      </c>
    </row>
    <row r="71" customFormat="false" ht="31.5" hidden="false" customHeight="true" outlineLevel="0" collapsed="false">
      <c r="A71" s="2"/>
      <c r="B71" s="3" t="s">
        <v>250</v>
      </c>
      <c r="C71" s="4" t="s">
        <v>55</v>
      </c>
      <c r="D71" s="4" t="s">
        <v>18</v>
      </c>
      <c r="E71" s="4" t="n">
        <v>20</v>
      </c>
      <c r="F71" s="4" t="s">
        <v>251</v>
      </c>
      <c r="G71" s="4" t="s">
        <v>20</v>
      </c>
      <c r="J71" s="4" t="n">
        <f aca="false">TRUE()</f>
        <v>1</v>
      </c>
      <c r="K71" s="5" t="n">
        <f aca="false">FALSE()</f>
        <v>0</v>
      </c>
      <c r="M71" s="4" t="s">
        <v>252</v>
      </c>
    </row>
    <row r="72" customFormat="false" ht="31.5" hidden="false" customHeight="true" outlineLevel="0" collapsed="false">
      <c r="A72" s="2"/>
      <c r="B72" s="3" t="s">
        <v>253</v>
      </c>
      <c r="C72" s="4" t="s">
        <v>55</v>
      </c>
      <c r="D72" s="4" t="s">
        <v>18</v>
      </c>
      <c r="E72" s="4" t="n">
        <v>1.4</v>
      </c>
      <c r="F72" s="4" t="s">
        <v>254</v>
      </c>
      <c r="G72" s="4" t="s">
        <v>20</v>
      </c>
      <c r="J72" s="4" t="n">
        <f aca="false">FALSE()</f>
        <v>0</v>
      </c>
      <c r="K72" s="4" t="n">
        <f aca="false">TRUE()</f>
        <v>1</v>
      </c>
      <c r="M72" s="4" t="s">
        <v>255</v>
      </c>
    </row>
    <row r="73" customFormat="false" ht="31.5" hidden="false" customHeight="true" outlineLevel="0" collapsed="false">
      <c r="A73" s="2"/>
      <c r="B73" s="3" t="s">
        <v>256</v>
      </c>
      <c r="C73" s="4" t="s">
        <v>257</v>
      </c>
      <c r="D73" s="4" t="s">
        <v>18</v>
      </c>
      <c r="E73" s="4" t="n">
        <v>145</v>
      </c>
      <c r="F73" s="4" t="s">
        <v>258</v>
      </c>
      <c r="G73" s="4" t="s">
        <v>20</v>
      </c>
      <c r="J73" s="4" t="n">
        <f aca="false">FALSE()</f>
        <v>0</v>
      </c>
      <c r="K73" s="4" t="n">
        <f aca="false">TRUE()</f>
        <v>1</v>
      </c>
      <c r="L73" s="4" t="s">
        <v>259</v>
      </c>
      <c r="M73" s="4" t="s">
        <v>260</v>
      </c>
    </row>
    <row r="74" customFormat="false" ht="31.5" hidden="false" customHeight="true" outlineLevel="0" collapsed="false">
      <c r="A74" s="12"/>
      <c r="B74" s="13"/>
      <c r="C74" s="4" t="s">
        <v>257</v>
      </c>
      <c r="D74" s="4" t="s">
        <v>23</v>
      </c>
      <c r="E74" s="4" t="n">
        <v>136</v>
      </c>
      <c r="F74" s="4" t="s">
        <v>261</v>
      </c>
      <c r="G74" s="4" t="s">
        <v>25</v>
      </c>
      <c r="J74" s="4" t="n">
        <f aca="false">FALSE()</f>
        <v>0</v>
      </c>
      <c r="K74" s="4" t="n">
        <f aca="false">TRUE()</f>
        <v>1</v>
      </c>
      <c r="L74" s="4" t="s">
        <v>262</v>
      </c>
      <c r="M74" s="4" t="s">
        <v>263</v>
      </c>
    </row>
    <row r="75" customFormat="false" ht="31.5" hidden="false" customHeight="true" outlineLevel="0" collapsed="false">
      <c r="A75" s="2"/>
      <c r="B75" s="3" t="s">
        <v>264</v>
      </c>
      <c r="C75" s="4" t="s">
        <v>265</v>
      </c>
      <c r="D75" s="4" t="s">
        <v>18</v>
      </c>
      <c r="E75" s="4" t="n">
        <v>5</v>
      </c>
      <c r="F75" s="4" t="s">
        <v>266</v>
      </c>
      <c r="G75" s="4" t="s">
        <v>20</v>
      </c>
      <c r="J75" s="4" t="n">
        <f aca="false">FALSE()</f>
        <v>0</v>
      </c>
      <c r="K75" s="4" t="n">
        <f aca="false">TRUE()</f>
        <v>1</v>
      </c>
      <c r="L75" s="4" t="s">
        <v>267</v>
      </c>
      <c r="M75" s="4" t="s">
        <v>268</v>
      </c>
    </row>
    <row r="76" customFormat="false" ht="31.5" hidden="false" customHeight="true" outlineLevel="0" collapsed="false">
      <c r="A76" s="12"/>
      <c r="B76" s="13"/>
      <c r="C76" s="4" t="s">
        <v>265</v>
      </c>
      <c r="D76" s="4" t="s">
        <v>23</v>
      </c>
      <c r="E76" s="4" t="n">
        <v>3.5</v>
      </c>
      <c r="F76" s="4" t="s">
        <v>114</v>
      </c>
      <c r="G76" s="4" t="s">
        <v>25</v>
      </c>
      <c r="J76" s="4" t="n">
        <f aca="false">FALSE()</f>
        <v>0</v>
      </c>
      <c r="K76" s="4" t="n">
        <f aca="false">TRUE()</f>
        <v>1</v>
      </c>
      <c r="L76" s="4" t="s">
        <v>269</v>
      </c>
      <c r="M76" s="4" t="s">
        <v>270</v>
      </c>
    </row>
    <row r="77" customFormat="false" ht="31.5" hidden="false" customHeight="true" outlineLevel="0" collapsed="false">
      <c r="A77" s="2" t="s">
        <v>271</v>
      </c>
      <c r="B77" s="3" t="s">
        <v>272</v>
      </c>
      <c r="C77" s="4" t="s">
        <v>55</v>
      </c>
      <c r="D77" s="4" t="s">
        <v>18</v>
      </c>
      <c r="E77" s="4" t="n">
        <v>7</v>
      </c>
      <c r="F77" s="4" t="s">
        <v>273</v>
      </c>
      <c r="G77" s="4" t="s">
        <v>20</v>
      </c>
      <c r="H77" s="4" t="s">
        <v>92</v>
      </c>
      <c r="J77" s="4" t="n">
        <f aca="false">TRUE()</f>
        <v>1</v>
      </c>
      <c r="K77" s="5" t="n">
        <f aca="false">FALSE()</f>
        <v>0</v>
      </c>
      <c r="M77" s="4" t="s">
        <v>274</v>
      </c>
    </row>
    <row r="78" customFormat="false" ht="31.5" hidden="false" customHeight="true" outlineLevel="0" collapsed="false">
      <c r="A78" s="12"/>
      <c r="B78" s="13"/>
      <c r="C78" s="4" t="s">
        <v>55</v>
      </c>
      <c r="D78" s="4" t="s">
        <v>23</v>
      </c>
      <c r="E78" s="4" t="n">
        <v>3.5</v>
      </c>
      <c r="F78" s="4" t="s">
        <v>114</v>
      </c>
      <c r="G78" s="4" t="s">
        <v>25</v>
      </c>
      <c r="H78" s="4" t="s">
        <v>92</v>
      </c>
      <c r="J78" s="4" t="n">
        <f aca="false">TRUE()</f>
        <v>1</v>
      </c>
      <c r="K78" s="5" t="n">
        <f aca="false">FALSE()</f>
        <v>0</v>
      </c>
      <c r="M78" s="4" t="s">
        <v>275</v>
      </c>
    </row>
    <row r="79" customFormat="false" ht="31.5" hidden="false" customHeight="true" outlineLevel="0" collapsed="false">
      <c r="A79" s="12"/>
      <c r="B79" s="13"/>
      <c r="C79" s="4" t="s">
        <v>55</v>
      </c>
      <c r="D79" s="4" t="s">
        <v>18</v>
      </c>
      <c r="E79" s="4" t="n">
        <v>6</v>
      </c>
      <c r="F79" s="4" t="s">
        <v>276</v>
      </c>
      <c r="G79" s="4" t="s">
        <v>20</v>
      </c>
      <c r="H79" s="4" t="s">
        <v>106</v>
      </c>
      <c r="J79" s="4" t="n">
        <f aca="false">TRUE()</f>
        <v>1</v>
      </c>
      <c r="K79" s="5" t="n">
        <f aca="false">FALSE()</f>
        <v>0</v>
      </c>
      <c r="M79" s="4" t="s">
        <v>274</v>
      </c>
    </row>
    <row r="80" customFormat="false" ht="31.5" hidden="false" customHeight="true" outlineLevel="0" collapsed="false">
      <c r="A80" s="12"/>
      <c r="B80" s="13"/>
      <c r="C80" s="4" t="s">
        <v>55</v>
      </c>
      <c r="D80" s="4" t="s">
        <v>23</v>
      </c>
      <c r="E80" s="4" t="n">
        <v>3</v>
      </c>
      <c r="F80" s="4" t="s">
        <v>117</v>
      </c>
      <c r="G80" s="4" t="s">
        <v>25</v>
      </c>
      <c r="H80" s="4" t="s">
        <v>106</v>
      </c>
      <c r="J80" s="4" t="n">
        <f aca="false">TRUE()</f>
        <v>1</v>
      </c>
      <c r="K80" s="5" t="n">
        <f aca="false">FALSE()</f>
        <v>0</v>
      </c>
      <c r="M80" s="4" t="s">
        <v>275</v>
      </c>
    </row>
    <row r="81" customFormat="false" ht="31.5" hidden="false" customHeight="true" outlineLevel="0" collapsed="false">
      <c r="A81" s="2" t="s">
        <v>277</v>
      </c>
      <c r="B81" s="3" t="s">
        <v>278</v>
      </c>
      <c r="C81" s="4" t="s">
        <v>17</v>
      </c>
      <c r="D81" s="4" t="s">
        <v>23</v>
      </c>
      <c r="E81" s="4" t="n">
        <v>3</v>
      </c>
      <c r="F81" s="4" t="s">
        <v>117</v>
      </c>
      <c r="G81" s="4" t="s">
        <v>25</v>
      </c>
      <c r="J81" s="4" t="n">
        <f aca="false">TRUE()</f>
        <v>1</v>
      </c>
      <c r="K81" s="5" t="n">
        <f aca="false">FALSE()</f>
        <v>0</v>
      </c>
      <c r="L81" s="4" t="s">
        <v>279</v>
      </c>
      <c r="N81" s="4" t="s">
        <v>280</v>
      </c>
      <c r="O81" s="4" t="s">
        <v>281</v>
      </c>
    </row>
    <row r="82" customFormat="false" ht="31.5" hidden="false" customHeight="true" outlineLevel="0" collapsed="false">
      <c r="A82" s="2" t="s">
        <v>282</v>
      </c>
      <c r="B82" s="3" t="s">
        <v>282</v>
      </c>
      <c r="C82" s="4" t="s">
        <v>17</v>
      </c>
      <c r="D82" s="4" t="s">
        <v>23</v>
      </c>
      <c r="E82" s="4" t="n">
        <v>0.3</v>
      </c>
      <c r="F82" s="4" t="s">
        <v>283</v>
      </c>
      <c r="G82" s="4" t="s">
        <v>25</v>
      </c>
      <c r="J82" s="4" t="n">
        <f aca="false">TRUE()</f>
        <v>1</v>
      </c>
      <c r="K82" s="5" t="n">
        <f aca="false">FALSE()</f>
        <v>0</v>
      </c>
      <c r="L82" s="4" t="s">
        <v>284</v>
      </c>
    </row>
    <row r="83" customFormat="false" ht="31.5" hidden="false" customHeight="true" outlineLevel="0" collapsed="false">
      <c r="A83" s="2" t="s">
        <v>285</v>
      </c>
      <c r="B83" s="3" t="s">
        <v>286</v>
      </c>
      <c r="C83" s="4" t="s">
        <v>287</v>
      </c>
      <c r="D83" s="4" t="s">
        <v>23</v>
      </c>
      <c r="E83" s="4" t="n">
        <v>50</v>
      </c>
      <c r="F83" s="4" t="s">
        <v>288</v>
      </c>
      <c r="G83" s="4" t="s">
        <v>25</v>
      </c>
      <c r="J83" s="4" t="n">
        <f aca="false">TRUE()</f>
        <v>1</v>
      </c>
      <c r="K83" s="5" t="n">
        <f aca="false">FALSE()</f>
        <v>0</v>
      </c>
      <c r="L83" s="4" t="s">
        <v>289</v>
      </c>
      <c r="M83" s="4"/>
      <c r="N83" s="4" t="s">
        <v>290</v>
      </c>
    </row>
    <row r="84" customFormat="false" ht="31.5" hidden="false" customHeight="true" outlineLevel="0" collapsed="false">
      <c r="A84" s="2" t="s">
        <v>291</v>
      </c>
      <c r="B84" s="3" t="s">
        <v>291</v>
      </c>
      <c r="C84" s="4" t="s">
        <v>17</v>
      </c>
      <c r="D84" s="4" t="s">
        <v>18</v>
      </c>
      <c r="E84" s="4" t="n">
        <v>4</v>
      </c>
      <c r="F84" s="4" t="s">
        <v>292</v>
      </c>
      <c r="G84" s="4" t="s">
        <v>20</v>
      </c>
      <c r="J84" s="4" t="n">
        <f aca="false">TRUE()</f>
        <v>1</v>
      </c>
      <c r="K84" s="4" t="n">
        <f aca="false">FALSE()</f>
        <v>0</v>
      </c>
      <c r="L84" s="4" t="s">
        <v>293</v>
      </c>
      <c r="O84" s="4" t="s">
        <v>294</v>
      </c>
    </row>
    <row r="85" customFormat="false" ht="31.5" hidden="false" customHeight="true" outlineLevel="0" collapsed="false">
      <c r="A85" s="2" t="s">
        <v>295</v>
      </c>
      <c r="B85" s="3" t="s">
        <v>295</v>
      </c>
      <c r="C85" s="4" t="s">
        <v>296</v>
      </c>
      <c r="D85" s="4" t="s">
        <v>23</v>
      </c>
      <c r="E85" s="4" t="n">
        <v>0.8</v>
      </c>
      <c r="F85" s="4" t="s">
        <v>297</v>
      </c>
      <c r="G85" s="4" t="s">
        <v>25</v>
      </c>
      <c r="J85" s="4" t="n">
        <f aca="false">TRUE()</f>
        <v>1</v>
      </c>
      <c r="K85" s="5" t="n">
        <f aca="false">FALSE()</f>
        <v>0</v>
      </c>
      <c r="L85" s="4" t="s">
        <v>298</v>
      </c>
      <c r="N85" s="4" t="s">
        <v>290</v>
      </c>
    </row>
    <row r="86" customFormat="false" ht="31.5" hidden="false" customHeight="true" outlineLevel="0" collapsed="false">
      <c r="A86" s="2" t="s">
        <v>299</v>
      </c>
      <c r="B86" s="3" t="s">
        <v>299</v>
      </c>
      <c r="C86" s="4" t="s">
        <v>127</v>
      </c>
      <c r="D86" s="4" t="s">
        <v>18</v>
      </c>
      <c r="E86" s="4" t="n">
        <v>1.8</v>
      </c>
      <c r="F86" s="4" t="s">
        <v>300</v>
      </c>
      <c r="G86" s="4" t="s">
        <v>20</v>
      </c>
      <c r="J86" s="4" t="n">
        <f aca="false">TRUE()</f>
        <v>1</v>
      </c>
      <c r="K86" s="5" t="n">
        <f aca="false">FALSE()</f>
        <v>0</v>
      </c>
      <c r="M86" s="4" t="s">
        <v>301</v>
      </c>
    </row>
    <row r="87" customFormat="false" ht="32.25" hidden="false" customHeight="true" outlineLevel="0" collapsed="false">
      <c r="A87" s="17"/>
      <c r="B87" s="18"/>
      <c r="D87" s="0" t="s">
        <v>23</v>
      </c>
      <c r="E87" s="4" t="n">
        <v>1</v>
      </c>
      <c r="F87" s="4" t="s">
        <v>302</v>
      </c>
      <c r="G87" s="4" t="s">
        <v>25</v>
      </c>
      <c r="J87" s="4" t="n">
        <f aca="false">TRUE()</f>
        <v>1</v>
      </c>
      <c r="K87" s="5" t="n">
        <f aca="false">FALSE()</f>
        <v>0</v>
      </c>
      <c r="M87" s="4" t="s">
        <v>303</v>
      </c>
    </row>
  </sheetData>
  <conditionalFormatting sqref="N2 O2:P3">
    <cfRule type="expression" priority="2" aboveAverage="0" equalAverage="0" bottom="0" percent="0" rank="0" text="" dxfId="0">
      <formula>LEN(TRIM(N2))&gt;0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2022-06-27T17:01:20Z</dcterms:modified>
  <cp:revision>1</cp:revision>
  <dc:subject/>
  <dc:title/>
</cp:coreProperties>
</file>